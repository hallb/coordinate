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llb\Sync\financial\insurance\"/>
    </mc:Choice>
  </mc:AlternateContent>
  <xr:revisionPtr revIDLastSave="223" documentId="13_ncr:1_{0E38E237-7E15-4B01-B469-F331D0BC93A8}" xr6:coauthVersionLast="47" xr6:coauthVersionMax="47" xr10:uidLastSave="{D72BF7F6-9D47-4BB3-8AD6-FF9084DBC620}"/>
  <bookViews>
    <workbookView xWindow="28680" yWindow="-18675" windowWidth="51840" windowHeight="2112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Sheet1!$C$1:$C$1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181" i="1" l="1"/>
  <c r="L167" i="1"/>
  <c r="L153" i="1"/>
  <c r="L148" i="1"/>
  <c r="L147" i="1"/>
  <c r="L129" i="1"/>
  <c r="L128" i="1"/>
  <c r="H135" i="1"/>
  <c r="H132" i="1"/>
  <c r="L110" i="1"/>
  <c r="R100" i="1"/>
  <c r="L91" i="1"/>
  <c r="L90" i="1"/>
  <c r="L85" i="1"/>
  <c r="L80" i="1"/>
  <c r="L74" i="1"/>
  <c r="B18" i="2"/>
  <c r="B17" i="2"/>
  <c r="L67" i="1"/>
  <c r="R63" i="1"/>
  <c r="R62" i="1"/>
  <c r="R61" i="1"/>
  <c r="R60" i="1"/>
  <c r="R59" i="1"/>
  <c r="R58" i="1"/>
  <c r="R57" i="1"/>
  <c r="R56" i="1"/>
  <c r="R55" i="1"/>
  <c r="R54" i="1"/>
  <c r="R52" i="1"/>
  <c r="R50" i="1"/>
  <c r="L64" i="1"/>
  <c r="L61" i="1"/>
  <c r="L59" i="1"/>
  <c r="L60" i="1"/>
  <c r="L58" i="1"/>
  <c r="L57" i="1"/>
  <c r="L56" i="1"/>
  <c r="L55" i="1"/>
  <c r="L54" i="1"/>
  <c r="L52" i="1"/>
  <c r="L50" i="1"/>
  <c r="I38" i="1"/>
</calcChain>
</file>

<file path=xl/sharedStrings.xml><?xml version="1.0" encoding="utf-8"?>
<sst xmlns="http://schemas.openxmlformats.org/spreadsheetml/2006/main" count="778" uniqueCount="156">
  <si>
    <t>BH</t>
  </si>
  <si>
    <t>SM</t>
  </si>
  <si>
    <t>BH HSSA</t>
  </si>
  <si>
    <t>SM HSSA</t>
  </si>
  <si>
    <t>Service Date</t>
  </si>
  <si>
    <t>Who</t>
  </si>
  <si>
    <t>What</t>
  </si>
  <si>
    <t>How Much</t>
  </si>
  <si>
    <t>Submit</t>
  </si>
  <si>
    <t>Process</t>
  </si>
  <si>
    <t>Amount Claimed</t>
  </si>
  <si>
    <t>Amount Paid</t>
  </si>
  <si>
    <t>Submit2</t>
  </si>
  <si>
    <t>Process3</t>
  </si>
  <si>
    <t>Amount Claimed4</t>
  </si>
  <si>
    <t>Amount Paid5</t>
  </si>
  <si>
    <t>Notes</t>
  </si>
  <si>
    <t>Column6</t>
  </si>
  <si>
    <t>Submit7</t>
  </si>
  <si>
    <t>Process8</t>
  </si>
  <si>
    <t>Amount Claimed9</t>
  </si>
  <si>
    <t>Amount Paid10</t>
  </si>
  <si>
    <t>Column11</t>
  </si>
  <si>
    <t>Submit12</t>
  </si>
  <si>
    <t>Process13</t>
  </si>
  <si>
    <t>Amount Claimed14</t>
  </si>
  <si>
    <t>Amount Paid15</t>
  </si>
  <si>
    <t>Mira</t>
  </si>
  <si>
    <t>Drug</t>
  </si>
  <si>
    <t>x</t>
  </si>
  <si>
    <t>Mom paid for this cash at Raxlen Pharmacy.
Gave to Sobia to submit via paper.</t>
  </si>
  <si>
    <t>Manulife</t>
  </si>
  <si>
    <t>Drugs and General Health</t>
  </si>
  <si>
    <t>Ben</t>
  </si>
  <si>
    <t>Dental</t>
  </si>
  <si>
    <t>X</t>
  </si>
  <si>
    <t>Great West Life</t>
  </si>
  <si>
    <t>Great West</t>
  </si>
  <si>
    <t>Dental and Orthodontics</t>
  </si>
  <si>
    <t>Glasses</t>
  </si>
  <si>
    <t>Manulife.</t>
  </si>
  <si>
    <t>Anisa</t>
  </si>
  <si>
    <t>Reject</t>
  </si>
  <si>
    <t>Uploaded receipts. Waiting.
ClaimSecure rejected because receipt doesn't have Lens Crafters identifier on it. BH to go to LC and get them to stamp it.</t>
  </si>
  <si>
    <t>Bizzarely, I couldn't "re"submit, instead submitted a new claim. I was given  no opportunity to add any receipts  and it was just accepted automatically. Good? I guess?</t>
  </si>
  <si>
    <t>Sobia's processed on Jun 23</t>
  </si>
  <si>
    <t>Orthotics</t>
  </si>
  <si>
    <t>audit</t>
  </si>
  <si>
    <t>sobia sending for audit</t>
  </si>
  <si>
    <t>BH's exceeded maximum</t>
  </si>
  <si>
    <t>Sobia</t>
  </si>
  <si>
    <t>provider submitted</t>
  </si>
  <si>
    <t>forgot to copy</t>
  </si>
  <si>
    <t>GWL</t>
  </si>
  <si>
    <t>Chiro</t>
  </si>
  <si>
    <t>nothing to claim</t>
  </si>
  <si>
    <t>waiting</t>
  </si>
  <si>
    <t>maybe</t>
  </si>
  <si>
    <t>Massage</t>
  </si>
  <si>
    <t>don't bother</t>
  </si>
  <si>
    <t>Declined. Submitted after filing deadline.</t>
  </si>
  <si>
    <t>Mindfulness</t>
  </si>
  <si>
    <t>not needed</t>
  </si>
  <si>
    <t>120319-673325-33</t>
  </si>
  <si>
    <t>GWL paid on 2019/03/14</t>
  </si>
  <si>
    <t>BH's exceeded maximum, send to Manulife</t>
  </si>
  <si>
    <t>Manulife paid on 2019/03/19</t>
  </si>
  <si>
    <t>Paid</t>
  </si>
  <si>
    <t>after deadline</t>
  </si>
  <si>
    <t>190619-721427-14</t>
  </si>
  <si>
    <t>GWL paid on 2019/06/20</t>
  </si>
  <si>
    <t>referral?</t>
  </si>
  <si>
    <t>Physio</t>
  </si>
  <si>
    <t>Manulife (dup)</t>
  </si>
  <si>
    <t>220320-877854-00</t>
  </si>
  <si>
    <t>210720-213357-00</t>
  </si>
  <si>
    <t>paid</t>
  </si>
  <si>
    <t>Optometrist</t>
  </si>
  <si>
    <t>photoclaim</t>
  </si>
  <si>
    <t>Could make the $25 CoB claim.</t>
  </si>
  <si>
    <t>Gabriel</t>
  </si>
  <si>
    <t>submitted by dentist</t>
  </si>
  <si>
    <t>canada life</t>
  </si>
  <si>
    <t>SpTher</t>
  </si>
  <si>
    <t>???</t>
  </si>
  <si>
    <t>reject</t>
  </si>
  <si>
    <t>$500 limit p.a.</t>
  </si>
  <si>
    <t>audit 1019872324</t>
  </si>
  <si>
    <t>reject and resubmit</t>
  </si>
  <si>
    <t>PsTher</t>
  </si>
  <si>
    <t>250424-678672-00</t>
  </si>
  <si>
    <t>manulife</t>
  </si>
  <si>
    <t>limit hit</t>
  </si>
  <si>
    <t>resubmit as social worker not psycotherapist</t>
  </si>
  <si>
    <t>N/A</t>
  </si>
  <si>
    <t>paid (to optometrist)</t>
  </si>
  <si>
    <t>deposited</t>
  </si>
  <si>
    <t>Vision</t>
  </si>
  <si>
    <t>antibiotic</t>
  </si>
  <si>
    <t>steroid</t>
  </si>
  <si>
    <t>PsThere</t>
  </si>
  <si>
    <t>sara h. was not a known provider.</t>
  </si>
  <si>
    <t>done</t>
  </si>
  <si>
    <t>waiting for deposit</t>
  </si>
  <si>
    <t>Oops - claimed too much</t>
  </si>
  <si>
    <t>waiting for dep</t>
  </si>
  <si>
    <t>031124-547993-00</t>
  </si>
  <si>
    <t>SW</t>
  </si>
  <si>
    <t>Anisa, Ben, Sobia</t>
  </si>
  <si>
    <t>claimed under Sobia waiting for dep</t>
  </si>
  <si>
    <t>could submit $25 to co-pay</t>
  </si>
  <si>
    <t>Ben, Sobia (re Mira)</t>
  </si>
  <si>
    <t>Waiting for receipt (Note this might be under my name)</t>
  </si>
  <si>
    <t>audit; rejected - max reached</t>
  </si>
  <si>
    <t>rejected</t>
  </si>
  <si>
    <t>paid (after resubmit with more docs)</t>
  </si>
  <si>
    <t>waiting for manulife</t>
  </si>
  <si>
    <t>still not paid</t>
  </si>
  <si>
    <t>Need to get explanation of benefits from other insurer</t>
  </si>
  <si>
    <t>start with manulife</t>
  </si>
  <si>
    <t>submitted</t>
  </si>
  <si>
    <t>note: topping up with HSSA</t>
  </si>
  <si>
    <t>automated</t>
  </si>
  <si>
    <t>rejected. resubmitted 2025-09-01. audit.</t>
  </si>
  <si>
    <t>paid in October!</t>
  </si>
  <si>
    <t>audit; paid - max reached</t>
  </si>
  <si>
    <t>110925-054489-00</t>
  </si>
  <si>
    <t>limit hit. go to manulife</t>
  </si>
  <si>
    <t>*</t>
  </si>
  <si>
    <t>not paid</t>
  </si>
  <si>
    <t>ready to claim</t>
  </si>
  <si>
    <t>170126-748711-00</t>
  </si>
  <si>
    <t>wiating for receipt</t>
  </si>
  <si>
    <t>01202/0</t>
  </si>
  <si>
    <t>Diagnostic services</t>
  </si>
  <si>
    <t>11113/0</t>
  </si>
  <si>
    <t>Preventive services</t>
  </si>
  <si>
    <t>11107/0</t>
  </si>
  <si>
    <t>Total:</t>
  </si>
  <si>
    <t>Speech Therapy 2023/2024</t>
  </si>
  <si>
    <t>Cost</t>
  </si>
  <si>
    <t>BH Ins</t>
  </si>
  <si>
    <t>SM Ins</t>
  </si>
  <si>
    <t>BH HAS</t>
  </si>
  <si>
    <t>Total Covered</t>
  </si>
  <si>
    <t>Paid %</t>
  </si>
  <si>
    <t>Not Covered</t>
  </si>
  <si>
    <t>Coverage</t>
  </si>
  <si>
    <t>Amount</t>
  </si>
  <si>
    <t>Date</t>
  </si>
  <si>
    <t>Full Eye Exam</t>
  </si>
  <si>
    <t>Chiropodist, Podiatrist, Xrays</t>
  </si>
  <si>
    <t>Mental Health Practitioners (Clinical Counselor, Family Therapist, Psychologist, Psychotherapist, Registered Counsellor, Social Worker)</t>
  </si>
  <si>
    <t>Paramedical (Massage Therapist, Physiotherapy)</t>
  </si>
  <si>
    <t>Homeopath/Naturopath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</si>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</sst>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;[Red]\-&quot;$&quot;#,##0"/>
    <numFmt numFmtId="164" formatCode="&quot;$&quot;#,##0.00_);[Red]\(&quot;$&quot;#,##0.00\)"/>
    <numFmt numFmtId="165" formatCode="_(* #,##0.00_);_(* \(#,##0.00\);_(* &quot;-&quot;??_);_(@_)"/>
    <numFmt numFmtId="166" formatCode="_-\$* #,##0.00_-;&quot;-$&quot;* #,##0.00_-;_-\$* \-??_-;_-@_-"/>
    <numFmt numFmtId="167" formatCode="\$#,##0;[Red]&quot;-$&quot;#,##0"/>
    <numFmt numFmtId="168" formatCode="yyyy\-mm\-dd;@"/>
    <numFmt numFmtId="169" formatCode="_([$$-409]* #,##0.00_);_([$$-409]* \(#,##0.00\);_([$$-409]* &quot;-&quot;??_);_(@_)"/>
  </numFmts>
  <fonts count="9">
    <font>
      <sz val="11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11"/>
      <color rgb="FF0061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9C57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9C5700"/>
      <name val="Calibri"/>
      <family val="2"/>
      <scheme val="minor"/>
    </font>
    <font>
      <strike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DDDDD"/>
        <bgColor rgb="FFC6EFCE"/>
      </patternFill>
    </fill>
    <fill>
      <patternFill patternType="solid">
        <fgColor rgb="FFC6EFCE"/>
        <bgColor rgb="FFDDDDDD"/>
      </patternFill>
    </fill>
    <fill>
      <patternFill patternType="solid">
        <fgColor rgb="FFFFEB9C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166" fontId="5" fillId="0" borderId="0" applyBorder="0" applyProtection="0"/>
    <xf numFmtId="0" fontId="4" fillId="4" borderId="0" applyBorder="0" applyProtection="0"/>
    <xf numFmtId="0" fontId="6" fillId="6" borderId="0" applyNumberFormat="0" applyBorder="0" applyAlignment="0" applyProtection="0"/>
    <xf numFmtId="9" fontId="5" fillId="0" borderId="0" applyFont="0" applyFill="0" applyBorder="0" applyAlignment="0" applyProtection="0"/>
  </cellStyleXfs>
  <cellXfs count="46">
    <xf numFmtId="0" fontId="0" fillId="0" borderId="0" xfId="0"/>
    <xf numFmtId="14" fontId="0" fillId="0" borderId="0" xfId="0" applyNumberFormat="1"/>
    <xf numFmtId="166" fontId="5" fillId="0" borderId="0" xfId="1" applyBorder="1" applyProtection="1"/>
    <xf numFmtId="0" fontId="0" fillId="0" borderId="0" xfId="0" applyAlignment="1">
      <alignment wrapText="1"/>
    </xf>
    <xf numFmtId="0" fontId="1" fillId="2" borderId="0" xfId="2" applyFont="1" applyFill="1" applyBorder="1" applyProtection="1"/>
    <xf numFmtId="167" fontId="0" fillId="0" borderId="0" xfId="0" applyNumberFormat="1"/>
    <xf numFmtId="0" fontId="2" fillId="3" borderId="0" xfId="2" applyFont="1" applyFill="1" applyBorder="1" applyProtection="1"/>
    <xf numFmtId="0" fontId="3" fillId="0" borderId="0" xfId="0" applyFont="1"/>
    <xf numFmtId="166" fontId="0" fillId="0" borderId="0" xfId="1" applyFont="1" applyBorder="1" applyProtection="1"/>
    <xf numFmtId="0" fontId="4" fillId="4" borderId="0" xfId="2" applyBorder="1" applyProtection="1"/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166" fontId="5" fillId="5" borderId="0" xfId="1" applyFill="1" applyBorder="1" applyProtection="1"/>
    <xf numFmtId="14" fontId="0" fillId="5" borderId="0" xfId="0" applyNumberFormat="1" applyFill="1"/>
    <xf numFmtId="0" fontId="0" fillId="5" borderId="0" xfId="0" applyFill="1"/>
    <xf numFmtId="166" fontId="5" fillId="0" borderId="0" xfId="1"/>
    <xf numFmtId="166" fontId="5" fillId="5" borderId="0" xfId="1" applyFill="1"/>
    <xf numFmtId="166" fontId="0" fillId="5" borderId="0" xfId="1" applyFont="1" applyFill="1"/>
    <xf numFmtId="0" fontId="6" fillId="6" borderId="0" xfId="3"/>
    <xf numFmtId="166" fontId="6" fillId="6" borderId="0" xfId="3" applyNumberFormat="1" applyBorder="1" applyProtection="1"/>
    <xf numFmtId="168" fontId="0" fillId="0" borderId="0" xfId="0" applyNumberFormat="1"/>
    <xf numFmtId="168" fontId="0" fillId="5" borderId="0" xfId="0" applyNumberFormat="1" applyFill="1"/>
    <xf numFmtId="168" fontId="6" fillId="6" borderId="0" xfId="3" applyNumberFormat="1"/>
    <xf numFmtId="168" fontId="1" fillId="2" borderId="0" xfId="2" applyNumberFormat="1" applyFont="1" applyFill="1" applyBorder="1" applyProtection="1"/>
    <xf numFmtId="168" fontId="0" fillId="7" borderId="0" xfId="0" applyNumberFormat="1" applyFill="1"/>
    <xf numFmtId="0" fontId="0" fillId="7" borderId="0" xfId="0" applyFill="1"/>
    <xf numFmtId="166" fontId="5" fillId="7" borderId="0" xfId="1" applyFill="1" applyBorder="1" applyProtection="1"/>
    <xf numFmtId="165" fontId="0" fillId="0" borderId="0" xfId="0" applyNumberFormat="1"/>
    <xf numFmtId="169" fontId="0" fillId="0" borderId="0" xfId="0" applyNumberFormat="1"/>
    <xf numFmtId="9" fontId="0" fillId="0" borderId="0" xfId="4" applyFont="1"/>
    <xf numFmtId="9" fontId="0" fillId="0" borderId="0" xfId="0" applyNumberFormat="1"/>
    <xf numFmtId="6" fontId="0" fillId="0" borderId="0" xfId="0" applyNumberFormat="1"/>
    <xf numFmtId="0" fontId="7" fillId="0" borderId="0" xfId="0" applyFont="1"/>
    <xf numFmtId="168" fontId="7" fillId="8" borderId="0" xfId="0" applyNumberFormat="1" applyFont="1" applyFill="1"/>
    <xf numFmtId="0" fontId="7" fillId="8" borderId="0" xfId="0" applyFont="1" applyFill="1"/>
    <xf numFmtId="166" fontId="7" fillId="8" borderId="0" xfId="1" applyFont="1" applyFill="1" applyBorder="1" applyProtection="1"/>
    <xf numFmtId="166" fontId="0" fillId="0" borderId="0" xfId="0" applyNumberFormat="1"/>
    <xf numFmtId="166" fontId="0" fillId="5" borderId="0" xfId="0" applyNumberFormat="1" applyFill="1"/>
    <xf numFmtId="168" fontId="0" fillId="8" borderId="0" xfId="0" applyNumberFormat="1" applyFill="1"/>
    <xf numFmtId="0" fontId="0" fillId="8" borderId="0" xfId="0" applyFill="1"/>
    <xf numFmtId="166" fontId="5" fillId="8" borderId="0" xfId="1" applyFill="1" applyBorder="1" applyProtection="1"/>
    <xf numFmtId="166" fontId="0" fillId="8" borderId="0" xfId="0" applyNumberFormat="1" applyFill="1"/>
    <xf numFmtId="2" fontId="0" fillId="0" borderId="0" xfId="0" applyNumberFormat="1"/>
    <xf numFmtId="0" fontId="8" fillId="0" borderId="0" xfId="0" applyFont="1"/>
  </cellXfs>
  <cellStyles count="5">
    <cellStyle name="Currency" xfId="1" builtinId="4"/>
    <cellStyle name="Explanatory Text" xfId="2" builtinId="53" customBuiltin="1"/>
    <cellStyle name="Neutral" xfId="3" builtinId="28"/>
    <cellStyle name="Normal" xfId="0" builtinId="0"/>
    <cellStyle name="Percent" xfId="4" builtinId="5"/>
  </cellStyles>
  <dxfs count="11">
    <dxf>
      <numFmt numFmtId="19" formatCode="yyyy/mm/dd"/>
    </dxf>
    <dxf>
      <numFmt numFmtId="10" formatCode="&quot;$&quot;#,##0;[Red]\-&quot;$&quot;#,##0"/>
    </dxf>
    <dxf>
      <alignment horizontal="general" vertical="bottom" textRotation="0" wrapText="1" indent="0" justifyLastLine="0" shrinkToFit="0" readingOrder="0"/>
    </dxf>
    <dxf>
      <protection locked="1" hidden="0"/>
    </dxf>
    <dxf>
      <protection locked="1" hidden="0"/>
    </dxf>
    <dxf>
      <numFmt numFmtId="168" formatCode="yyyy\-mm\-dd;@"/>
    </dxf>
    <dxf>
      <protection locked="1" hidden="0"/>
    </dxf>
    <dxf>
      <protection locked="1" hidden="0"/>
    </dxf>
    <dxf>
      <numFmt numFmtId="168" formatCode="yyyy\-mm\-dd;@"/>
      <fill>
        <patternFill patternType="solid">
          <fgColor indexed="64"/>
          <bgColor rgb="FFFFFF00"/>
        </patternFill>
      </fill>
    </dxf>
    <dxf>
      <protection locked="1" hidden="0"/>
    </dxf>
    <dxf>
      <numFmt numFmtId="168" formatCode="yyyy\-mm\-dd;@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803CB8-0A6F-46A5-AD42-8CEC4A0DAF52}" name="Table2" displayName="Table2" ref="B3:X185" totalsRowShown="0">
  <autoFilter ref="B3:X185" xr:uid="{A3803CB8-0A6F-46A5-AD42-8CEC4A0DAF52}">
    <filterColumn colId="0">
      <filters>
        <dateGroupItem year="2025" dateTimeGrouping="year"/>
      </filters>
    </filterColumn>
    <filterColumn colId="1">
      <filters>
        <filter val="Anisa"/>
        <filter val="Mira"/>
      </filters>
    </filterColumn>
    <filterColumn colId="8">
      <filters blank="1">
        <filter val="could submit $25 to co-pay"/>
        <filter val="not needed"/>
        <filter val="ready to claim"/>
        <dateGroupItem year="2026" dateTimeGrouping="year"/>
        <dateGroupItem year="2024" dateTimeGrouping="year"/>
        <dateGroupItem year="2023" dateTimeGrouping="year"/>
        <dateGroupItem year="2022" dateTimeGrouping="year"/>
        <dateGroupItem year="2020" dateTimeGrouping="year"/>
        <dateGroupItem year="2019" dateTimeGrouping="year"/>
        <dateGroupItem year="2018" dateTimeGrouping="year"/>
        <dateGroupItem year="2017" dateTimeGrouping="year"/>
      </filters>
    </filterColumn>
  </autoFilter>
  <sortState xmlns:xlrd2="http://schemas.microsoft.com/office/spreadsheetml/2017/richdata2" ref="B4:X185">
    <sortCondition ref="B3:B185"/>
  </sortState>
  <tableColumns count="23">
    <tableColumn id="1" xr3:uid="{3FB91B72-1895-4CE8-AAD4-14984BF3AB1C}" name="Service Date" dataDxfId="10"/>
    <tableColumn id="2" xr3:uid="{62C998FA-82EB-4F43-A86E-FF1F17E44DD6}" name="Who"/>
    <tableColumn id="3" xr3:uid="{D707B5CB-8C8E-49A9-B895-7C01C7E1E096}" name="What"/>
    <tableColumn id="4" xr3:uid="{4658EAA5-8EB9-4488-B1F9-BA8CC8C97ADF}" name="How Much" dataDxfId="9" dataCellStyle="Currency"/>
    <tableColumn id="5" xr3:uid="{2FF84D33-6DAB-4C8C-93FF-3A7960065FBF}" name="Submit" dataDxfId="8"/>
    <tableColumn id="6" xr3:uid="{1B8BA756-00FE-411D-AE80-EBDB9E272D56}" name="Process"/>
    <tableColumn id="7" xr3:uid="{F53B011D-C750-483C-AB52-A2F426823F09}" name="Amount Claimed" dataDxfId="7" dataCellStyle="Currency"/>
    <tableColumn id="8" xr3:uid="{6536F98A-6D67-40D4-9B6D-9B126D5BB804}" name="Amount Paid" dataDxfId="6" dataCellStyle="Currency"/>
    <tableColumn id="9" xr3:uid="{7610A814-E728-4619-8D9F-11115E3BCBF6}" name="Submit2" dataDxfId="5"/>
    <tableColumn id="10" xr3:uid="{C2483A84-3BFE-49A9-A533-29BF80256BBB}" name="Process3"/>
    <tableColumn id="11" xr3:uid="{781871BA-44CD-4AD7-B8D8-9DD05EB91046}" name="Amount Claimed4" dataDxfId="4" dataCellStyle="Currency"/>
    <tableColumn id="12" xr3:uid="{A19F0900-0AA5-4795-B16C-B4B27F5843FD}" name="Amount Paid5" dataDxfId="3" dataCellStyle="Currency"/>
    <tableColumn id="13" xr3:uid="{42325AF4-85D7-4766-8C9E-14226AD5BB77}" name="Notes"/>
    <tableColumn id="14" xr3:uid="{EF75C43A-068B-4FFB-9A5E-D8668C847743}" name="Column6"/>
    <tableColumn id="15" xr3:uid="{08AA23B1-33E5-43DE-8222-25E9C2A585D2}" name="Submit7"/>
    <tableColumn id="16" xr3:uid="{AFBD9EB4-1D7E-4626-A42B-A18BEA4B69CF}" name="Process8"/>
    <tableColumn id="17" xr3:uid="{93BDFEF5-2FBD-4F88-B9EA-80808A032527}" name="Amount Claimed9"/>
    <tableColumn id="18" xr3:uid="{19668351-E712-44FC-9992-8F373305BD56}" name="Amount Paid10"/>
    <tableColumn id="19" xr3:uid="{9BAA2E0C-1AAD-41DE-A51C-1DE12B01E27E}" name="Column11"/>
    <tableColumn id="20" xr3:uid="{181E5DEA-24F9-4757-831E-825553C757A2}" name="Submit12"/>
    <tableColumn id="21" xr3:uid="{4E3A8763-2006-4420-B5FB-CF7B20539A46}" name="Process13"/>
    <tableColumn id="22" xr3:uid="{CA373E9A-6ED5-43B1-A7AB-E5C55131D351}" name="Amount Claimed14"/>
    <tableColumn id="23" xr3:uid="{ACCCC555-F6DF-455D-8E6F-BF0EB450E6EF}" name="Amount Paid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A2E207-192D-48DB-AD9C-7D8876486A11}" name="Table1" displayName="Table1" ref="A1:D8" totalsRowShown="0">
  <autoFilter ref="A1:D8" xr:uid="{90A2E207-192D-48DB-AD9C-7D8876486A11}"/>
  <tableColumns count="4">
    <tableColumn id="1" xr3:uid="{35DD16D3-7ABC-4AA9-9198-AE89DE48CB69}" name="Who"/>
    <tableColumn id="2" xr3:uid="{9BA47A38-FA77-4159-8458-E5D57B210DA4}" name="Coverage" dataDxfId="2"/>
    <tableColumn id="3" xr3:uid="{E84FB942-B9C1-44A6-9A3D-526DC1F6AC6E}" name="Amount" dataDxfId="1"/>
    <tableColumn id="4" xr3:uid="{DF372BCC-F0F9-455A-8227-BFEA1973BC97}" name="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X190"/>
  <sheetViews>
    <sheetView tabSelected="1" zoomScaleNormal="100" workbookViewId="0">
      <pane xSplit="2" ySplit="3" topLeftCell="C151" activePane="bottomRight" state="frozen"/>
      <selection pane="bottomRight" activeCell="M193" sqref="M193"/>
      <selection pane="bottomLeft" activeCell="A4" sqref="A4"/>
      <selection pane="topRight" activeCell="C1" sqref="C1"/>
    </sheetView>
  </sheetViews>
  <sheetFormatPr defaultRowHeight="15"/>
  <cols>
    <col min="1" max="1" width="8.5703125" customWidth="1"/>
    <col min="2" max="2" width="15" style="22" customWidth="1"/>
    <col min="3" max="3" width="19" bestFit="1" customWidth="1"/>
    <col min="4" max="4" width="12" customWidth="1"/>
    <col min="5" max="5" width="13.28515625" style="2" customWidth="1"/>
    <col min="6" max="6" width="17.28515625" style="22" customWidth="1"/>
    <col min="7" max="7" width="50.7109375" bestFit="1" customWidth="1"/>
    <col min="8" max="8" width="18" style="2" customWidth="1"/>
    <col min="9" max="9" width="14.85546875" style="2" customWidth="1"/>
    <col min="10" max="10" width="13.28515625" style="22" customWidth="1"/>
    <col min="11" max="11" width="16.42578125" customWidth="1"/>
    <col min="12" max="12" width="19" style="2" customWidth="1"/>
    <col min="13" max="13" width="15.85546875" style="2" customWidth="1"/>
    <col min="14" max="14" width="21.5703125" customWidth="1"/>
    <col min="15" max="15" width="26" customWidth="1"/>
    <col min="16" max="16" width="11.42578125" bestFit="1" customWidth="1"/>
    <col min="17" max="17" width="15.7109375" bestFit="1" customWidth="1"/>
    <col min="18" max="18" width="17.7109375" customWidth="1"/>
    <col min="19" max="19" width="15.7109375" customWidth="1"/>
    <col min="20" max="20" width="11.42578125" customWidth="1"/>
    <col min="21" max="21" width="11.140625" bestFit="1" customWidth="1"/>
    <col min="22" max="22" width="23.28515625" bestFit="1" customWidth="1"/>
    <col min="23" max="23" width="18.7109375" customWidth="1"/>
    <col min="24" max="24" width="15.7109375" customWidth="1"/>
    <col min="25" max="1027" width="8.5703125" customWidth="1"/>
  </cols>
  <sheetData>
    <row r="2" spans="2:24">
      <c r="F2" s="22" t="s">
        <v>0</v>
      </c>
      <c r="J2" s="22" t="s">
        <v>1</v>
      </c>
      <c r="P2" t="s">
        <v>2</v>
      </c>
      <c r="U2" t="s">
        <v>3</v>
      </c>
    </row>
    <row r="3" spans="2:24">
      <c r="B3" s="22" t="s">
        <v>4</v>
      </c>
      <c r="C3" t="s">
        <v>5</v>
      </c>
      <c r="D3" t="s">
        <v>6</v>
      </c>
      <c r="E3" s="2" t="s">
        <v>7</v>
      </c>
      <c r="F3" s="22" t="s">
        <v>8</v>
      </c>
      <c r="G3" t="s">
        <v>9</v>
      </c>
      <c r="H3" s="8" t="s">
        <v>10</v>
      </c>
      <c r="I3" s="8" t="s">
        <v>11</v>
      </c>
      <c r="J3" s="22" t="s">
        <v>12</v>
      </c>
      <c r="K3" t="s">
        <v>13</v>
      </c>
      <c r="L3" s="8" t="s">
        <v>14</v>
      </c>
      <c r="M3" s="8" t="s">
        <v>15</v>
      </c>
      <c r="N3" t="s">
        <v>16</v>
      </c>
      <c r="O3" t="s">
        <v>17</v>
      </c>
      <c r="P3" t="s">
        <v>18</v>
      </c>
      <c r="Q3" t="s">
        <v>19</v>
      </c>
      <c r="R3" t="s">
        <v>20</v>
      </c>
      <c r="S3" t="s">
        <v>21</v>
      </c>
      <c r="T3" t="s">
        <v>22</v>
      </c>
      <c r="U3" t="s">
        <v>23</v>
      </c>
      <c r="V3" t="s">
        <v>24</v>
      </c>
      <c r="W3" t="s">
        <v>25</v>
      </c>
      <c r="X3" t="s">
        <v>26</v>
      </c>
    </row>
    <row r="4" spans="2:24" ht="60" hidden="1">
      <c r="B4" s="22">
        <v>42828</v>
      </c>
      <c r="C4" t="s">
        <v>27</v>
      </c>
      <c r="D4" t="s">
        <v>28</v>
      </c>
      <c r="E4" s="2">
        <v>26.19</v>
      </c>
      <c r="F4" s="22">
        <v>42834</v>
      </c>
      <c r="G4" t="s">
        <v>29</v>
      </c>
      <c r="I4" s="2">
        <v>16.2</v>
      </c>
      <c r="N4" s="3" t="s">
        <v>30</v>
      </c>
      <c r="P4" s="4"/>
      <c r="T4" s="5"/>
      <c r="U4" s="6" t="s">
        <v>31</v>
      </c>
      <c r="V4" s="6" t="s">
        <v>32</v>
      </c>
      <c r="W4" s="6"/>
      <c r="X4" s="6"/>
    </row>
    <row r="5" spans="2:24" hidden="1">
      <c r="B5" s="22">
        <v>42864</v>
      </c>
      <c r="C5" t="s">
        <v>33</v>
      </c>
      <c r="D5" t="s">
        <v>34</v>
      </c>
      <c r="E5" s="2">
        <v>220</v>
      </c>
      <c r="F5" s="22">
        <v>42864</v>
      </c>
      <c r="G5" t="s">
        <v>29</v>
      </c>
      <c r="I5" s="2">
        <v>176</v>
      </c>
      <c r="J5" s="22">
        <v>42877</v>
      </c>
      <c r="K5" t="s">
        <v>35</v>
      </c>
      <c r="L5" s="2">
        <v>44</v>
      </c>
      <c r="N5" s="3" t="s">
        <v>36</v>
      </c>
      <c r="P5" s="4"/>
      <c r="T5" s="5"/>
      <c r="U5" s="6" t="s">
        <v>37</v>
      </c>
      <c r="V5" s="6" t="s">
        <v>38</v>
      </c>
      <c r="W5" s="6"/>
      <c r="X5" s="6"/>
    </row>
    <row r="6" spans="2:24" hidden="1">
      <c r="B6" s="22">
        <v>42876</v>
      </c>
      <c r="C6" t="s">
        <v>27</v>
      </c>
      <c r="D6" t="s">
        <v>39</v>
      </c>
      <c r="E6" s="2">
        <v>242.15</v>
      </c>
      <c r="F6" s="22">
        <v>42877</v>
      </c>
      <c r="G6" t="s">
        <v>29</v>
      </c>
      <c r="I6" s="2">
        <v>200</v>
      </c>
      <c r="J6" s="22">
        <v>42877</v>
      </c>
      <c r="K6" s="3">
        <v>16605649</v>
      </c>
      <c r="L6" s="2">
        <v>42.15</v>
      </c>
      <c r="N6" t="s">
        <v>40</v>
      </c>
      <c r="P6" s="4"/>
    </row>
    <row r="7" spans="2:24" ht="120" hidden="1">
      <c r="B7" s="22">
        <v>42876</v>
      </c>
      <c r="C7" t="s">
        <v>41</v>
      </c>
      <c r="D7" t="s">
        <v>39</v>
      </c>
      <c r="E7" s="2">
        <v>252.15</v>
      </c>
      <c r="F7" s="22">
        <v>42877</v>
      </c>
      <c r="G7" t="s">
        <v>42</v>
      </c>
      <c r="N7" s="3" t="s">
        <v>43</v>
      </c>
      <c r="O7" s="3"/>
      <c r="P7" s="4"/>
      <c r="T7" s="5"/>
    </row>
    <row r="8" spans="2:24" ht="135" hidden="1">
      <c r="B8" s="22">
        <v>42876</v>
      </c>
      <c r="C8" t="s">
        <v>41</v>
      </c>
      <c r="D8" t="s">
        <v>39</v>
      </c>
      <c r="E8" s="2">
        <v>252.15</v>
      </c>
      <c r="F8" s="22">
        <v>42903</v>
      </c>
      <c r="G8" t="s">
        <v>35</v>
      </c>
      <c r="I8" s="2">
        <v>200</v>
      </c>
      <c r="J8" s="22">
        <v>42903</v>
      </c>
      <c r="K8" s="7">
        <v>16935347</v>
      </c>
      <c r="L8" s="8">
        <v>52.15</v>
      </c>
      <c r="M8" s="8"/>
      <c r="N8" s="3" t="s">
        <v>44</v>
      </c>
      <c r="O8" t="s">
        <v>45</v>
      </c>
      <c r="P8" s="4"/>
    </row>
    <row r="9" spans="2:24" hidden="1">
      <c r="B9" s="22">
        <v>42957</v>
      </c>
      <c r="C9" t="s">
        <v>27</v>
      </c>
      <c r="D9" t="s">
        <v>46</v>
      </c>
      <c r="E9" s="2">
        <v>574</v>
      </c>
      <c r="F9" s="22">
        <v>42964</v>
      </c>
      <c r="G9" t="s">
        <v>35</v>
      </c>
      <c r="I9" s="2">
        <v>375</v>
      </c>
      <c r="P9" s="4"/>
    </row>
    <row r="10" spans="2:24" hidden="1">
      <c r="B10" s="22">
        <v>43060</v>
      </c>
      <c r="C10" t="s">
        <v>33</v>
      </c>
      <c r="D10" t="s">
        <v>34</v>
      </c>
      <c r="E10" s="2">
        <v>165</v>
      </c>
      <c r="F10" s="22">
        <v>43060</v>
      </c>
      <c r="G10" t="s">
        <v>35</v>
      </c>
      <c r="I10" s="2">
        <v>132</v>
      </c>
      <c r="J10" s="22">
        <v>43062</v>
      </c>
      <c r="K10" t="s">
        <v>47</v>
      </c>
      <c r="L10" s="2">
        <v>33</v>
      </c>
      <c r="N10" s="3" t="s">
        <v>48</v>
      </c>
      <c r="P10" s="4"/>
    </row>
    <row r="11" spans="2:24" ht="30.75" hidden="1">
      <c r="B11" s="22">
        <v>43070</v>
      </c>
      <c r="C11" t="s">
        <v>41</v>
      </c>
      <c r="D11" t="s">
        <v>39</v>
      </c>
      <c r="E11" s="2">
        <v>295</v>
      </c>
      <c r="F11" s="22">
        <v>43241</v>
      </c>
      <c r="G11" t="s">
        <v>35</v>
      </c>
      <c r="I11" s="2">
        <v>0</v>
      </c>
      <c r="J11" s="22">
        <v>43241</v>
      </c>
      <c r="K11">
        <v>22323335</v>
      </c>
      <c r="L11" s="2">
        <v>295</v>
      </c>
      <c r="N11" s="3" t="s">
        <v>49</v>
      </c>
      <c r="P11" s="4"/>
    </row>
    <row r="12" spans="2:24" hidden="1">
      <c r="B12" s="22">
        <v>43154</v>
      </c>
      <c r="C12" t="s">
        <v>50</v>
      </c>
      <c r="D12" t="s">
        <v>34</v>
      </c>
      <c r="E12" s="2">
        <v>489</v>
      </c>
      <c r="F12" s="22">
        <v>43241</v>
      </c>
      <c r="G12" t="s">
        <v>35</v>
      </c>
      <c r="I12" s="2">
        <v>73.349999999999994</v>
      </c>
      <c r="J12" s="22">
        <v>43154</v>
      </c>
      <c r="K12" t="s">
        <v>51</v>
      </c>
      <c r="L12" s="2">
        <v>415.65</v>
      </c>
      <c r="P12" s="4"/>
    </row>
    <row r="13" spans="2:24" hidden="1">
      <c r="B13" s="22">
        <v>43250</v>
      </c>
      <c r="C13" t="s">
        <v>33</v>
      </c>
      <c r="D13" t="s">
        <v>34</v>
      </c>
      <c r="E13" s="2">
        <v>270</v>
      </c>
      <c r="F13" s="22">
        <v>43250</v>
      </c>
      <c r="G13" t="s">
        <v>35</v>
      </c>
      <c r="I13" s="2">
        <v>216</v>
      </c>
      <c r="J13" s="22">
        <v>43252</v>
      </c>
      <c r="K13" t="s">
        <v>52</v>
      </c>
      <c r="L13" s="8">
        <v>54</v>
      </c>
      <c r="M13" s="8"/>
      <c r="N13" s="3" t="s">
        <v>53</v>
      </c>
    </row>
    <row r="14" spans="2:24" hidden="1">
      <c r="B14" s="22">
        <v>43251</v>
      </c>
      <c r="C14" t="s">
        <v>33</v>
      </c>
      <c r="D14" t="s">
        <v>54</v>
      </c>
      <c r="E14" s="2">
        <v>150</v>
      </c>
      <c r="F14" s="22">
        <v>43252</v>
      </c>
      <c r="G14" t="s">
        <v>35</v>
      </c>
      <c r="H14" s="8"/>
      <c r="I14" s="8">
        <v>150</v>
      </c>
      <c r="K14" t="s">
        <v>55</v>
      </c>
    </row>
    <row r="15" spans="2:24" hidden="1">
      <c r="B15" s="22">
        <v>43256</v>
      </c>
      <c r="C15" t="s">
        <v>33</v>
      </c>
      <c r="D15" t="s">
        <v>54</v>
      </c>
      <c r="E15" s="2">
        <v>100</v>
      </c>
      <c r="F15" s="22">
        <v>43256</v>
      </c>
      <c r="G15" t="s">
        <v>35</v>
      </c>
      <c r="I15" s="2">
        <v>75</v>
      </c>
      <c r="J15" s="22">
        <v>43256</v>
      </c>
      <c r="K15" t="s">
        <v>52</v>
      </c>
      <c r="L15" s="8">
        <v>25</v>
      </c>
      <c r="M15" s="8"/>
      <c r="N15" s="3" t="s">
        <v>31</v>
      </c>
    </row>
    <row r="16" spans="2:24" hidden="1">
      <c r="B16" s="22">
        <v>43322</v>
      </c>
      <c r="C16" t="s">
        <v>41</v>
      </c>
      <c r="D16" t="s">
        <v>46</v>
      </c>
      <c r="E16" s="2">
        <v>549</v>
      </c>
      <c r="F16" s="22">
        <v>43536</v>
      </c>
      <c r="G16" t="s">
        <v>35</v>
      </c>
      <c r="I16" s="2">
        <v>375</v>
      </c>
      <c r="J16" s="22">
        <v>43551</v>
      </c>
      <c r="K16">
        <v>28458533</v>
      </c>
      <c r="L16" s="9" t="s">
        <v>56</v>
      </c>
      <c r="M16" s="9"/>
      <c r="N16" s="3" t="s">
        <v>31</v>
      </c>
      <c r="P16" s="9" t="s">
        <v>57</v>
      </c>
    </row>
    <row r="17" spans="2:18" hidden="1">
      <c r="B17" s="22">
        <v>43416</v>
      </c>
      <c r="C17" t="s">
        <v>50</v>
      </c>
      <c r="D17" t="s">
        <v>58</v>
      </c>
      <c r="E17" s="2">
        <v>108.48</v>
      </c>
      <c r="F17" s="22" t="s">
        <v>59</v>
      </c>
      <c r="J17" s="22">
        <v>43912</v>
      </c>
      <c r="K17">
        <v>36838986</v>
      </c>
      <c r="L17" s="2">
        <v>108.48</v>
      </c>
      <c r="M17" s="2">
        <v>0</v>
      </c>
      <c r="N17" s="4" t="s">
        <v>31</v>
      </c>
      <c r="O17" t="s">
        <v>60</v>
      </c>
    </row>
    <row r="18" spans="2:18" hidden="1">
      <c r="B18" s="22">
        <v>43432</v>
      </c>
      <c r="C18" t="s">
        <v>33</v>
      </c>
      <c r="D18" t="s">
        <v>61</v>
      </c>
      <c r="E18" s="2">
        <v>270</v>
      </c>
      <c r="F18" s="22">
        <v>43536</v>
      </c>
      <c r="G18" t="s">
        <v>35</v>
      </c>
      <c r="I18" s="2">
        <v>270</v>
      </c>
      <c r="J18" s="25" t="s">
        <v>62</v>
      </c>
      <c r="K18" s="4" t="s">
        <v>62</v>
      </c>
      <c r="L18" s="4" t="s">
        <v>62</v>
      </c>
      <c r="M18" s="4"/>
      <c r="N18" s="4" t="s">
        <v>62</v>
      </c>
      <c r="O18" s="4" t="s">
        <v>62</v>
      </c>
      <c r="P18" s="4" t="s">
        <v>62</v>
      </c>
    </row>
    <row r="19" spans="2:18" hidden="1">
      <c r="B19" s="22">
        <v>43438</v>
      </c>
      <c r="C19" t="s">
        <v>33</v>
      </c>
      <c r="D19" t="s">
        <v>34</v>
      </c>
      <c r="E19" s="2">
        <v>165</v>
      </c>
      <c r="F19" s="22">
        <v>43438</v>
      </c>
      <c r="G19" t="s">
        <v>35</v>
      </c>
      <c r="I19" s="2">
        <v>132</v>
      </c>
      <c r="J19" s="22">
        <v>43536</v>
      </c>
      <c r="K19" t="s">
        <v>63</v>
      </c>
      <c r="L19" s="2">
        <v>33</v>
      </c>
      <c r="N19" s="3" t="s">
        <v>53</v>
      </c>
      <c r="O19" t="s">
        <v>64</v>
      </c>
      <c r="P19" s="4" t="s">
        <v>62</v>
      </c>
    </row>
    <row r="20" spans="2:18" ht="45.75" hidden="1">
      <c r="B20" s="22">
        <v>43453</v>
      </c>
      <c r="C20" t="s">
        <v>27</v>
      </c>
      <c r="D20" t="s">
        <v>39</v>
      </c>
      <c r="E20" s="2">
        <v>230</v>
      </c>
      <c r="F20" s="22">
        <v>43536</v>
      </c>
      <c r="G20" t="s">
        <v>35</v>
      </c>
      <c r="I20" s="2">
        <v>0</v>
      </c>
      <c r="J20" s="22">
        <v>43536</v>
      </c>
      <c r="K20" s="7">
        <v>28117843</v>
      </c>
      <c r="L20" s="2">
        <v>220</v>
      </c>
      <c r="N20" s="3" t="s">
        <v>65</v>
      </c>
      <c r="O20" t="s">
        <v>66</v>
      </c>
      <c r="P20" s="1">
        <v>43545</v>
      </c>
      <c r="Q20" t="s">
        <v>67</v>
      </c>
      <c r="R20" s="2">
        <v>10</v>
      </c>
    </row>
    <row r="21" spans="2:18" hidden="1">
      <c r="B21" s="22">
        <v>43581</v>
      </c>
      <c r="C21" t="s">
        <v>50</v>
      </c>
      <c r="D21" t="s">
        <v>58</v>
      </c>
      <c r="E21" s="2">
        <v>108.48</v>
      </c>
      <c r="F21" s="22" t="s">
        <v>68</v>
      </c>
      <c r="J21" s="22">
        <v>43912</v>
      </c>
      <c r="K21">
        <v>36839056</v>
      </c>
      <c r="L21" s="2">
        <v>108.48</v>
      </c>
      <c r="M21" s="2">
        <v>25</v>
      </c>
      <c r="N21" s="4" t="s">
        <v>31</v>
      </c>
    </row>
    <row r="22" spans="2:18" hidden="1">
      <c r="B22" s="22">
        <v>43634</v>
      </c>
      <c r="C22" t="s">
        <v>33</v>
      </c>
      <c r="D22" t="s">
        <v>34</v>
      </c>
      <c r="E22" s="2">
        <v>229</v>
      </c>
      <c r="F22" s="22">
        <v>43634</v>
      </c>
      <c r="G22" t="s">
        <v>35</v>
      </c>
      <c r="I22" s="2">
        <v>183.2</v>
      </c>
      <c r="J22" s="22">
        <v>43635</v>
      </c>
      <c r="K22" t="s">
        <v>69</v>
      </c>
      <c r="L22" s="2">
        <v>45.8</v>
      </c>
      <c r="N22" s="3" t="s">
        <v>53</v>
      </c>
      <c r="O22" t="s">
        <v>70</v>
      </c>
      <c r="P22" t="s">
        <v>62</v>
      </c>
    </row>
    <row r="23" spans="2:18" hidden="1">
      <c r="B23" s="22">
        <v>43697</v>
      </c>
      <c r="C23" t="s">
        <v>33</v>
      </c>
      <c r="D23" t="s">
        <v>54</v>
      </c>
      <c r="E23" s="2">
        <v>150</v>
      </c>
      <c r="F23" s="22">
        <v>43697</v>
      </c>
      <c r="G23" t="s">
        <v>35</v>
      </c>
      <c r="I23" s="2">
        <v>93.75</v>
      </c>
      <c r="J23" s="22">
        <v>43699</v>
      </c>
      <c r="K23">
        <v>31648610</v>
      </c>
    </row>
    <row r="24" spans="2:18" hidden="1">
      <c r="B24" s="22">
        <v>43699</v>
      </c>
      <c r="C24" t="s">
        <v>33</v>
      </c>
      <c r="D24" t="s">
        <v>54</v>
      </c>
      <c r="E24" s="2">
        <v>100</v>
      </c>
      <c r="F24" s="22">
        <v>43699</v>
      </c>
      <c r="G24" t="s">
        <v>35</v>
      </c>
      <c r="I24" s="2">
        <v>100</v>
      </c>
      <c r="J24" s="25" t="s">
        <v>62</v>
      </c>
      <c r="K24" s="4" t="s">
        <v>62</v>
      </c>
      <c r="L24" s="4" t="s">
        <v>62</v>
      </c>
      <c r="M24" s="4"/>
      <c r="N24" s="4" t="s">
        <v>62</v>
      </c>
      <c r="O24" s="4" t="s">
        <v>62</v>
      </c>
      <c r="P24" s="4" t="s">
        <v>62</v>
      </c>
    </row>
    <row r="25" spans="2:18" hidden="1">
      <c r="B25" s="22">
        <v>43703</v>
      </c>
      <c r="C25" t="s">
        <v>33</v>
      </c>
      <c r="D25" t="s">
        <v>54</v>
      </c>
      <c r="E25" s="2">
        <v>100</v>
      </c>
      <c r="F25" s="22">
        <v>43728</v>
      </c>
      <c r="G25">
        <v>1003314029</v>
      </c>
      <c r="I25" s="2">
        <v>100</v>
      </c>
      <c r="J25" s="25" t="s">
        <v>62</v>
      </c>
      <c r="K25" s="4" t="s">
        <v>62</v>
      </c>
      <c r="L25" s="4" t="s">
        <v>62</v>
      </c>
      <c r="M25" s="4"/>
      <c r="N25" s="4" t="s">
        <v>62</v>
      </c>
      <c r="O25" s="4" t="s">
        <v>62</v>
      </c>
      <c r="P25" s="4" t="s">
        <v>62</v>
      </c>
    </row>
    <row r="26" spans="2:18" hidden="1">
      <c r="B26" s="22">
        <v>43706</v>
      </c>
      <c r="C26" t="s">
        <v>33</v>
      </c>
      <c r="D26" t="s">
        <v>54</v>
      </c>
      <c r="E26" s="2">
        <v>100</v>
      </c>
      <c r="F26" s="22">
        <v>43728</v>
      </c>
      <c r="G26">
        <v>1003314030</v>
      </c>
      <c r="I26" s="2">
        <v>100</v>
      </c>
      <c r="J26" s="25" t="s">
        <v>62</v>
      </c>
      <c r="K26" s="4" t="s">
        <v>62</v>
      </c>
      <c r="L26" s="4" t="s">
        <v>62</v>
      </c>
      <c r="M26" s="4"/>
      <c r="N26" s="4" t="s">
        <v>62</v>
      </c>
      <c r="O26" s="4" t="s">
        <v>62</v>
      </c>
      <c r="P26" s="4" t="s">
        <v>62</v>
      </c>
    </row>
    <row r="27" spans="2:18" hidden="1">
      <c r="B27" s="22">
        <v>43713</v>
      </c>
      <c r="C27" t="s">
        <v>33</v>
      </c>
      <c r="D27" t="s">
        <v>54</v>
      </c>
      <c r="E27" s="2">
        <v>100</v>
      </c>
      <c r="F27" s="22">
        <v>43728</v>
      </c>
      <c r="G27">
        <v>1003314031</v>
      </c>
      <c r="I27" s="2">
        <v>100</v>
      </c>
      <c r="J27" s="25" t="s">
        <v>62</v>
      </c>
      <c r="K27" s="4" t="s">
        <v>62</v>
      </c>
      <c r="L27" s="4" t="s">
        <v>62</v>
      </c>
      <c r="M27" s="4"/>
      <c r="N27" s="4" t="s">
        <v>62</v>
      </c>
      <c r="O27" s="4" t="s">
        <v>62</v>
      </c>
      <c r="P27" s="4" t="s">
        <v>62</v>
      </c>
    </row>
    <row r="28" spans="2:18" hidden="1">
      <c r="B28" s="22">
        <v>43742</v>
      </c>
      <c r="C28" t="s">
        <v>50</v>
      </c>
      <c r="D28" t="s">
        <v>58</v>
      </c>
      <c r="E28" s="2">
        <v>120.72</v>
      </c>
      <c r="F28" s="23">
        <v>44033</v>
      </c>
      <c r="G28" s="16">
        <v>1006272620</v>
      </c>
      <c r="H28" s="19" t="s">
        <v>71</v>
      </c>
      <c r="I28" s="15"/>
      <c r="J28" s="22">
        <v>43912</v>
      </c>
      <c r="K28">
        <v>36839165</v>
      </c>
      <c r="L28" s="2">
        <v>120.72</v>
      </c>
      <c r="M28" s="2">
        <v>25</v>
      </c>
      <c r="N28" t="s">
        <v>31</v>
      </c>
    </row>
    <row r="29" spans="2:18" hidden="1">
      <c r="B29" s="22">
        <v>43844</v>
      </c>
      <c r="C29" t="s">
        <v>33</v>
      </c>
      <c r="D29" t="s">
        <v>34</v>
      </c>
      <c r="E29" s="2">
        <v>231</v>
      </c>
      <c r="F29" s="22">
        <v>43844</v>
      </c>
      <c r="G29">
        <v>1004811844</v>
      </c>
      <c r="I29" s="2">
        <v>184.8</v>
      </c>
      <c r="J29" s="22">
        <v>43845</v>
      </c>
      <c r="L29" s="2">
        <v>46.2</v>
      </c>
      <c r="M29" s="2">
        <v>40</v>
      </c>
      <c r="N29" s="3" t="s">
        <v>53</v>
      </c>
    </row>
    <row r="30" spans="2:18" hidden="1">
      <c r="B30" s="22">
        <v>43859</v>
      </c>
      <c r="C30" t="s">
        <v>50</v>
      </c>
      <c r="D30" t="s">
        <v>72</v>
      </c>
      <c r="E30" s="2">
        <v>90</v>
      </c>
      <c r="F30" s="22">
        <v>44033</v>
      </c>
      <c r="G30">
        <v>1006272673</v>
      </c>
      <c r="H30" s="17">
        <v>65</v>
      </c>
      <c r="I30" s="17">
        <v>65</v>
      </c>
      <c r="J30" s="22">
        <v>43912</v>
      </c>
      <c r="K30">
        <v>36839414</v>
      </c>
      <c r="L30" s="2">
        <v>90</v>
      </c>
      <c r="M30" s="2">
        <v>25</v>
      </c>
      <c r="N30" t="s">
        <v>31</v>
      </c>
    </row>
    <row r="31" spans="2:18" hidden="1">
      <c r="B31" s="22">
        <v>43866</v>
      </c>
      <c r="C31" t="s">
        <v>50</v>
      </c>
      <c r="D31" t="s">
        <v>72</v>
      </c>
      <c r="E31" s="2">
        <v>60</v>
      </c>
      <c r="F31" s="22">
        <v>44033</v>
      </c>
      <c r="G31">
        <v>1006272674</v>
      </c>
      <c r="H31" s="17">
        <v>35</v>
      </c>
      <c r="I31" s="17">
        <v>35</v>
      </c>
      <c r="J31" s="22">
        <v>43912</v>
      </c>
      <c r="K31">
        <v>36839414</v>
      </c>
      <c r="L31" s="2">
        <v>60</v>
      </c>
      <c r="M31" s="2">
        <v>25</v>
      </c>
      <c r="N31" t="s">
        <v>73</v>
      </c>
    </row>
    <row r="32" spans="2:18" hidden="1">
      <c r="B32" s="22">
        <v>43872</v>
      </c>
      <c r="C32" t="s">
        <v>33</v>
      </c>
      <c r="D32" t="s">
        <v>34</v>
      </c>
      <c r="E32" s="2">
        <v>484</v>
      </c>
      <c r="F32" s="22">
        <v>43872</v>
      </c>
      <c r="G32">
        <v>1005205045</v>
      </c>
      <c r="H32" s="2">
        <v>484</v>
      </c>
      <c r="I32" s="2">
        <v>370.8</v>
      </c>
      <c r="J32" s="22">
        <v>43912</v>
      </c>
      <c r="K32" t="s">
        <v>74</v>
      </c>
      <c r="L32" s="2">
        <v>113.2</v>
      </c>
      <c r="M32" s="2">
        <v>113.2</v>
      </c>
      <c r="N32" s="3" t="s">
        <v>53</v>
      </c>
    </row>
    <row r="33" spans="2:14" hidden="1">
      <c r="B33" s="22">
        <v>43880</v>
      </c>
      <c r="C33" t="s">
        <v>50</v>
      </c>
      <c r="D33" t="s">
        <v>72</v>
      </c>
      <c r="E33" s="2">
        <v>60</v>
      </c>
      <c r="F33" s="22">
        <v>44033</v>
      </c>
      <c r="G33">
        <v>1006272675</v>
      </c>
      <c r="H33" s="17">
        <v>35</v>
      </c>
      <c r="I33" s="17">
        <v>35</v>
      </c>
      <c r="J33" s="22">
        <v>43912</v>
      </c>
      <c r="K33">
        <v>36839414</v>
      </c>
      <c r="L33" s="2">
        <v>60</v>
      </c>
      <c r="M33" s="2">
        <v>25</v>
      </c>
      <c r="N33" t="s">
        <v>73</v>
      </c>
    </row>
    <row r="34" spans="2:14" hidden="1">
      <c r="B34" s="22">
        <v>43886</v>
      </c>
      <c r="C34" t="s">
        <v>50</v>
      </c>
      <c r="D34" t="s">
        <v>58</v>
      </c>
      <c r="E34" s="2">
        <v>67.8</v>
      </c>
      <c r="F34" s="23">
        <v>44033</v>
      </c>
      <c r="G34" s="16">
        <v>1006272621</v>
      </c>
      <c r="H34" s="19" t="s">
        <v>71</v>
      </c>
      <c r="I34" s="18"/>
      <c r="J34" s="22">
        <v>43912</v>
      </c>
      <c r="K34">
        <v>36839257</v>
      </c>
      <c r="L34" s="2">
        <v>67.8</v>
      </c>
      <c r="M34" s="2">
        <v>25</v>
      </c>
      <c r="N34" t="s">
        <v>31</v>
      </c>
    </row>
    <row r="35" spans="2:14" hidden="1">
      <c r="B35" s="22">
        <v>43894</v>
      </c>
      <c r="C35" t="s">
        <v>50</v>
      </c>
      <c r="D35" t="s">
        <v>72</v>
      </c>
      <c r="E35" s="2">
        <v>60</v>
      </c>
      <c r="F35" s="22">
        <v>44033</v>
      </c>
      <c r="G35">
        <v>1006272676</v>
      </c>
      <c r="H35" s="17">
        <v>35</v>
      </c>
      <c r="I35" s="17">
        <v>35</v>
      </c>
      <c r="J35" s="22">
        <v>43912</v>
      </c>
      <c r="K35">
        <v>36839414</v>
      </c>
      <c r="L35" s="2">
        <v>60</v>
      </c>
      <c r="M35" s="2">
        <v>25</v>
      </c>
      <c r="N35" t="s">
        <v>73</v>
      </c>
    </row>
    <row r="36" spans="2:14" hidden="1">
      <c r="B36" s="22">
        <v>43900</v>
      </c>
      <c r="C36" t="s">
        <v>50</v>
      </c>
      <c r="D36" t="s">
        <v>58</v>
      </c>
      <c r="E36" s="2">
        <v>67.8</v>
      </c>
      <c r="F36" s="23">
        <v>44033</v>
      </c>
      <c r="G36" s="16">
        <v>1006272622</v>
      </c>
      <c r="H36" s="19" t="s">
        <v>71</v>
      </c>
      <c r="I36" s="18"/>
      <c r="J36" s="22">
        <v>43912</v>
      </c>
      <c r="K36">
        <v>36839257</v>
      </c>
      <c r="L36" s="2">
        <v>67.8</v>
      </c>
      <c r="M36" s="2">
        <v>25</v>
      </c>
      <c r="N36" t="s">
        <v>73</v>
      </c>
    </row>
    <row r="37" spans="2:14" hidden="1">
      <c r="B37" s="22">
        <v>44033</v>
      </c>
      <c r="C37" t="s">
        <v>33</v>
      </c>
      <c r="D37" t="s">
        <v>34</v>
      </c>
      <c r="E37" s="2">
        <v>171</v>
      </c>
      <c r="F37" s="22">
        <v>44033</v>
      </c>
      <c r="G37">
        <v>1006271067</v>
      </c>
      <c r="H37" s="2">
        <v>171</v>
      </c>
      <c r="I37" s="2">
        <v>136.80000000000001</v>
      </c>
      <c r="J37" s="23">
        <v>44033</v>
      </c>
      <c r="K37" s="16" t="s">
        <v>75</v>
      </c>
      <c r="L37" s="14">
        <v>34.200000000000003</v>
      </c>
      <c r="M37" s="14"/>
      <c r="N37" s="3" t="s">
        <v>53</v>
      </c>
    </row>
    <row r="38" spans="2:14" hidden="1">
      <c r="B38" s="22">
        <v>44404</v>
      </c>
      <c r="C38" t="s">
        <v>33</v>
      </c>
      <c r="D38" t="s">
        <v>28</v>
      </c>
      <c r="E38" s="2">
        <v>28.2</v>
      </c>
      <c r="F38" s="22" t="s">
        <v>76</v>
      </c>
      <c r="H38" s="2">
        <v>28.2</v>
      </c>
      <c r="I38" s="2">
        <f>H38-11.99</f>
        <v>16.21</v>
      </c>
      <c r="J38" s="24">
        <v>44671</v>
      </c>
      <c r="K38" s="20">
        <v>57115072</v>
      </c>
      <c r="L38" s="21">
        <v>11.99</v>
      </c>
      <c r="M38" s="21"/>
      <c r="N38" t="s">
        <v>31</v>
      </c>
    </row>
    <row r="39" spans="2:14" hidden="1">
      <c r="B39" s="22">
        <v>44571</v>
      </c>
      <c r="C39" t="s">
        <v>33</v>
      </c>
      <c r="D39" t="s">
        <v>28</v>
      </c>
      <c r="E39" s="2">
        <v>11.99</v>
      </c>
      <c r="F39" s="22" t="s">
        <v>76</v>
      </c>
      <c r="H39" s="2">
        <v>28.36</v>
      </c>
      <c r="I39" s="2">
        <v>16.37</v>
      </c>
      <c r="J39" s="24">
        <v>44671</v>
      </c>
      <c r="K39" s="20">
        <v>57115319</v>
      </c>
      <c r="L39" s="21">
        <v>11.99</v>
      </c>
      <c r="M39" s="21"/>
      <c r="N39" t="s">
        <v>31</v>
      </c>
    </row>
    <row r="40" spans="2:14" hidden="1">
      <c r="B40" s="22">
        <v>44621</v>
      </c>
      <c r="C40" t="s">
        <v>33</v>
      </c>
      <c r="D40" t="s">
        <v>28</v>
      </c>
      <c r="E40" s="2">
        <v>11.99</v>
      </c>
      <c r="F40" s="22" t="s">
        <v>76</v>
      </c>
      <c r="H40" s="2">
        <v>28.36</v>
      </c>
      <c r="I40" s="2">
        <v>16.37</v>
      </c>
      <c r="J40" s="24">
        <v>44671</v>
      </c>
      <c r="K40" s="20">
        <v>57115256</v>
      </c>
      <c r="L40" s="21">
        <v>11.99</v>
      </c>
      <c r="M40" s="21"/>
      <c r="N40" t="s">
        <v>31</v>
      </c>
    </row>
    <row r="41" spans="2:14" hidden="1">
      <c r="B41" s="22">
        <v>44671</v>
      </c>
      <c r="C41" t="s">
        <v>33</v>
      </c>
      <c r="D41" t="s">
        <v>77</v>
      </c>
      <c r="E41" s="2">
        <v>150</v>
      </c>
      <c r="F41" s="22">
        <v>44671</v>
      </c>
      <c r="G41" t="s">
        <v>78</v>
      </c>
      <c r="H41" s="2">
        <v>150</v>
      </c>
      <c r="I41" s="2">
        <v>150</v>
      </c>
    </row>
    <row r="42" spans="2:14" hidden="1">
      <c r="B42" s="22">
        <v>44671</v>
      </c>
      <c r="C42" t="s">
        <v>50</v>
      </c>
      <c r="D42" t="s">
        <v>77</v>
      </c>
      <c r="E42" s="2">
        <v>150</v>
      </c>
      <c r="F42" s="22">
        <v>44671</v>
      </c>
      <c r="G42" t="s">
        <v>78</v>
      </c>
      <c r="H42" s="2">
        <v>150</v>
      </c>
      <c r="I42" s="2">
        <v>150</v>
      </c>
    </row>
    <row r="43" spans="2:14" hidden="1">
      <c r="B43" s="22">
        <v>44671</v>
      </c>
      <c r="C43" t="s">
        <v>27</v>
      </c>
      <c r="D43" t="s">
        <v>77</v>
      </c>
      <c r="E43" s="2">
        <v>45</v>
      </c>
      <c r="F43" s="22">
        <v>44671</v>
      </c>
      <c r="G43" t="s">
        <v>78</v>
      </c>
      <c r="H43" s="2">
        <v>45</v>
      </c>
      <c r="I43" s="2">
        <v>45</v>
      </c>
    </row>
    <row r="44" spans="2:14" hidden="1">
      <c r="B44" s="22">
        <v>44671</v>
      </c>
      <c r="C44" t="s">
        <v>41</v>
      </c>
      <c r="D44" t="s">
        <v>77</v>
      </c>
      <c r="E44" s="2">
        <v>45</v>
      </c>
      <c r="F44" s="22">
        <v>44671</v>
      </c>
      <c r="G44" t="s">
        <v>78</v>
      </c>
      <c r="H44" s="2">
        <v>45</v>
      </c>
      <c r="I44" s="2">
        <v>20</v>
      </c>
      <c r="N44" t="s">
        <v>79</v>
      </c>
    </row>
    <row r="45" spans="2:14" hidden="1">
      <c r="B45" s="22">
        <v>44671</v>
      </c>
      <c r="C45" t="s">
        <v>80</v>
      </c>
      <c r="D45" t="s">
        <v>77</v>
      </c>
      <c r="E45" s="2">
        <v>45</v>
      </c>
      <c r="F45" s="22">
        <v>44671</v>
      </c>
      <c r="G45" t="s">
        <v>78</v>
      </c>
      <c r="H45" s="2">
        <v>45</v>
      </c>
      <c r="I45" s="2">
        <v>45</v>
      </c>
    </row>
    <row r="46" spans="2:14" hidden="1">
      <c r="B46" s="22">
        <v>44680</v>
      </c>
      <c r="C46" t="s">
        <v>27</v>
      </c>
      <c r="D46" t="s">
        <v>77</v>
      </c>
      <c r="E46" s="2">
        <v>300</v>
      </c>
      <c r="F46" s="24">
        <v>44690</v>
      </c>
      <c r="G46" s="20" t="s">
        <v>78</v>
      </c>
      <c r="H46" s="21">
        <v>300</v>
      </c>
      <c r="I46" s="21"/>
    </row>
    <row r="47" spans="2:14" hidden="1">
      <c r="B47" s="22">
        <v>44694</v>
      </c>
      <c r="C47" t="s">
        <v>27</v>
      </c>
      <c r="D47" t="s">
        <v>46</v>
      </c>
    </row>
    <row r="48" spans="2:14" hidden="1">
      <c r="B48" s="22">
        <v>44694</v>
      </c>
      <c r="C48" t="s">
        <v>41</v>
      </c>
      <c r="D48" t="s">
        <v>46</v>
      </c>
    </row>
    <row r="49" spans="2:19" hidden="1">
      <c r="B49" s="22">
        <v>44973</v>
      </c>
      <c r="C49" t="s">
        <v>33</v>
      </c>
      <c r="D49" t="s">
        <v>34</v>
      </c>
      <c r="E49" s="2">
        <v>285</v>
      </c>
      <c r="F49" s="22">
        <v>44973</v>
      </c>
      <c r="G49" t="s">
        <v>81</v>
      </c>
      <c r="H49" s="2">
        <v>285</v>
      </c>
      <c r="I49" s="2">
        <v>228</v>
      </c>
      <c r="J49" s="22">
        <v>44984</v>
      </c>
      <c r="K49">
        <v>1164648785</v>
      </c>
      <c r="L49" s="2">
        <v>57</v>
      </c>
      <c r="M49" s="2">
        <v>57</v>
      </c>
      <c r="N49" t="s">
        <v>82</v>
      </c>
    </row>
    <row r="50" spans="2:19" hidden="1">
      <c r="B50" s="22">
        <v>45047</v>
      </c>
      <c r="C50" t="s">
        <v>80</v>
      </c>
      <c r="D50" t="s">
        <v>83</v>
      </c>
      <c r="E50" s="2">
        <v>170</v>
      </c>
      <c r="F50" s="22">
        <v>45360</v>
      </c>
      <c r="G50" t="s">
        <v>76</v>
      </c>
      <c r="H50" s="2">
        <v>170</v>
      </c>
      <c r="I50" s="2">
        <v>145</v>
      </c>
      <c r="J50" s="26">
        <v>45361</v>
      </c>
      <c r="K50" s="27">
        <v>80691331</v>
      </c>
      <c r="L50" s="28">
        <f>H50-I50</f>
        <v>25</v>
      </c>
      <c r="M50" s="2">
        <v>25</v>
      </c>
      <c r="R50" s="29">
        <f>E50-I50-M50</f>
        <v>0</v>
      </c>
    </row>
    <row r="51" spans="2:19" hidden="1">
      <c r="B51" s="22">
        <v>45070</v>
      </c>
      <c r="C51" t="s">
        <v>33</v>
      </c>
      <c r="D51" t="s">
        <v>28</v>
      </c>
      <c r="E51" s="2">
        <v>11.99</v>
      </c>
      <c r="F51" s="22" t="s">
        <v>76</v>
      </c>
    </row>
    <row r="52" spans="2:19" hidden="1">
      <c r="B52" s="22">
        <v>45203</v>
      </c>
      <c r="C52" t="s">
        <v>80</v>
      </c>
      <c r="D52" t="s">
        <v>83</v>
      </c>
      <c r="E52" s="2">
        <v>145</v>
      </c>
      <c r="F52" s="22">
        <v>45360</v>
      </c>
      <c r="G52" t="s">
        <v>76</v>
      </c>
      <c r="H52" s="2">
        <v>145</v>
      </c>
      <c r="I52" s="2">
        <v>145</v>
      </c>
      <c r="J52" s="26"/>
      <c r="K52" s="27"/>
      <c r="L52" s="28">
        <f>H52-I52</f>
        <v>0</v>
      </c>
      <c r="R52" s="29">
        <f>E52-I52-M52</f>
        <v>0</v>
      </c>
    </row>
    <row r="53" spans="2:19" hidden="1">
      <c r="B53" s="22">
        <v>45210</v>
      </c>
      <c r="C53" t="s">
        <v>33</v>
      </c>
      <c r="D53" t="s">
        <v>34</v>
      </c>
      <c r="E53" s="2">
        <v>192</v>
      </c>
      <c r="F53" s="22">
        <v>45210</v>
      </c>
      <c r="G53" t="s">
        <v>81</v>
      </c>
      <c r="H53" s="2">
        <v>192</v>
      </c>
      <c r="I53" s="2">
        <v>153.6</v>
      </c>
      <c r="J53" s="26">
        <v>44984</v>
      </c>
      <c r="K53" s="27" t="s">
        <v>84</v>
      </c>
      <c r="L53" s="28">
        <v>38.400000000000006</v>
      </c>
      <c r="M53" s="28">
        <v>57</v>
      </c>
      <c r="N53" s="27" t="s">
        <v>82</v>
      </c>
    </row>
    <row r="54" spans="2:19" hidden="1">
      <c r="B54" s="22">
        <v>45218</v>
      </c>
      <c r="C54" t="s">
        <v>80</v>
      </c>
      <c r="D54" t="s">
        <v>83</v>
      </c>
      <c r="E54" s="2">
        <v>145</v>
      </c>
      <c r="F54" s="22">
        <v>45360</v>
      </c>
      <c r="G54" t="s">
        <v>76</v>
      </c>
      <c r="H54" s="2">
        <v>145</v>
      </c>
      <c r="I54" s="2">
        <v>145</v>
      </c>
      <c r="J54" s="26"/>
      <c r="K54" s="27"/>
      <c r="L54" s="28">
        <f>H54-I54</f>
        <v>0</v>
      </c>
      <c r="R54" s="29">
        <f>E54-I54-M54</f>
        <v>0</v>
      </c>
    </row>
    <row r="55" spans="2:19" hidden="1">
      <c r="B55" s="22">
        <v>45231</v>
      </c>
      <c r="C55" t="s">
        <v>80</v>
      </c>
      <c r="D55" t="s">
        <v>83</v>
      </c>
      <c r="E55" s="2">
        <v>145</v>
      </c>
      <c r="F55" s="22">
        <v>45360</v>
      </c>
      <c r="G55" t="s">
        <v>76</v>
      </c>
      <c r="H55" s="2">
        <v>145</v>
      </c>
      <c r="I55" s="2">
        <v>65</v>
      </c>
      <c r="J55" s="26">
        <v>45361</v>
      </c>
      <c r="K55" s="27">
        <v>80691331</v>
      </c>
      <c r="L55" s="28">
        <f>H55-I55</f>
        <v>80</v>
      </c>
      <c r="M55" s="2">
        <v>80</v>
      </c>
      <c r="R55" s="29">
        <f>E55-I55-M55</f>
        <v>0</v>
      </c>
    </row>
    <row r="56" spans="2:19" hidden="1">
      <c r="B56" s="22">
        <v>45238</v>
      </c>
      <c r="C56" t="s">
        <v>80</v>
      </c>
      <c r="D56" t="s">
        <v>83</v>
      </c>
      <c r="E56" s="2">
        <v>145</v>
      </c>
      <c r="F56" s="22">
        <v>45360</v>
      </c>
      <c r="G56" t="s">
        <v>42</v>
      </c>
      <c r="H56" s="2">
        <v>145</v>
      </c>
      <c r="I56" s="2">
        <v>0</v>
      </c>
      <c r="J56" s="26">
        <v>45361</v>
      </c>
      <c r="K56" s="27">
        <v>80691331</v>
      </c>
      <c r="L56" s="28">
        <f>H56-I56</f>
        <v>145</v>
      </c>
      <c r="M56" s="2">
        <v>75</v>
      </c>
      <c r="P56" s="26">
        <v>45361</v>
      </c>
      <c r="Q56" t="s">
        <v>76</v>
      </c>
      <c r="R56" s="30">
        <f>E56-I56-M56</f>
        <v>70</v>
      </c>
      <c r="S56" s="30">
        <v>70</v>
      </c>
    </row>
    <row r="57" spans="2:19" hidden="1">
      <c r="B57" s="22">
        <v>45245</v>
      </c>
      <c r="C57" t="s">
        <v>80</v>
      </c>
      <c r="D57" t="s">
        <v>83</v>
      </c>
      <c r="E57" s="2">
        <v>145</v>
      </c>
      <c r="F57" s="22">
        <v>45360</v>
      </c>
      <c r="G57" t="s">
        <v>42</v>
      </c>
      <c r="H57" s="2">
        <v>145</v>
      </c>
      <c r="I57" s="2">
        <v>0</v>
      </c>
      <c r="J57" s="26">
        <v>45361</v>
      </c>
      <c r="K57" s="27">
        <v>80691331</v>
      </c>
      <c r="L57" s="28">
        <f>H57-I57</f>
        <v>145</v>
      </c>
      <c r="M57" s="2">
        <v>60</v>
      </c>
      <c r="P57" s="26">
        <v>45361</v>
      </c>
      <c r="Q57" t="s">
        <v>76</v>
      </c>
      <c r="R57" s="30">
        <f>E57-I57-M57</f>
        <v>85</v>
      </c>
      <c r="S57" s="30">
        <v>85</v>
      </c>
    </row>
    <row r="58" spans="2:19" hidden="1">
      <c r="B58" s="22">
        <v>45252</v>
      </c>
      <c r="C58" t="s">
        <v>80</v>
      </c>
      <c r="D58" t="s">
        <v>83</v>
      </c>
      <c r="E58" s="2">
        <v>145</v>
      </c>
      <c r="F58" s="22">
        <v>45360</v>
      </c>
      <c r="G58" t="s">
        <v>42</v>
      </c>
      <c r="H58" s="2">
        <v>145</v>
      </c>
      <c r="I58" s="2">
        <v>0</v>
      </c>
      <c r="J58" s="26">
        <v>45361</v>
      </c>
      <c r="K58" s="27">
        <v>80691331</v>
      </c>
      <c r="L58" s="28">
        <f>H58-I58</f>
        <v>145</v>
      </c>
      <c r="M58" s="2">
        <v>60</v>
      </c>
      <c r="P58" s="26">
        <v>45361</v>
      </c>
      <c r="Q58" t="s">
        <v>76</v>
      </c>
      <c r="R58" s="30">
        <f>E58-I58-M58</f>
        <v>85</v>
      </c>
      <c r="S58" s="30">
        <v>85</v>
      </c>
    </row>
    <row r="59" spans="2:19" hidden="1">
      <c r="B59" s="22">
        <v>45259</v>
      </c>
      <c r="C59" t="s">
        <v>80</v>
      </c>
      <c r="D59" t="s">
        <v>83</v>
      </c>
      <c r="E59" s="2">
        <v>145</v>
      </c>
      <c r="F59" s="22">
        <v>45360</v>
      </c>
      <c r="G59" t="s">
        <v>42</v>
      </c>
      <c r="H59" s="2">
        <v>145</v>
      </c>
      <c r="I59" s="2">
        <v>0</v>
      </c>
      <c r="J59" s="26">
        <v>45361</v>
      </c>
      <c r="K59" s="27">
        <v>80691331</v>
      </c>
      <c r="L59" s="28">
        <f>H59-I59</f>
        <v>145</v>
      </c>
      <c r="M59" s="2">
        <v>60</v>
      </c>
      <c r="P59" s="26">
        <v>45361</v>
      </c>
      <c r="Q59" t="s">
        <v>85</v>
      </c>
      <c r="R59" s="30">
        <f>E59-I59-M59</f>
        <v>85</v>
      </c>
      <c r="S59" s="30"/>
    </row>
    <row r="60" spans="2:19" hidden="1">
      <c r="B60" s="22">
        <v>45266</v>
      </c>
      <c r="C60" t="s">
        <v>80</v>
      </c>
      <c r="D60" t="s">
        <v>83</v>
      </c>
      <c r="E60" s="2">
        <v>145</v>
      </c>
      <c r="F60" s="22">
        <v>45360</v>
      </c>
      <c r="G60" t="s">
        <v>42</v>
      </c>
      <c r="H60" s="2">
        <v>145</v>
      </c>
      <c r="I60" s="2">
        <v>0</v>
      </c>
      <c r="J60" s="26">
        <v>45361</v>
      </c>
      <c r="K60" s="27">
        <v>80691331</v>
      </c>
      <c r="L60" s="28">
        <f>H60-I60</f>
        <v>145</v>
      </c>
      <c r="M60" s="2">
        <v>60</v>
      </c>
      <c r="P60" s="26">
        <v>45361</v>
      </c>
      <c r="Q60" t="s">
        <v>85</v>
      </c>
      <c r="R60" s="30">
        <f>E60-I60-M60</f>
        <v>85</v>
      </c>
      <c r="S60" s="30"/>
    </row>
    <row r="61" spans="2:19" hidden="1">
      <c r="B61" s="22">
        <v>45273</v>
      </c>
      <c r="C61" t="s">
        <v>80</v>
      </c>
      <c r="D61" t="s">
        <v>83</v>
      </c>
      <c r="E61" s="2">
        <v>145</v>
      </c>
      <c r="F61" s="22">
        <v>45360</v>
      </c>
      <c r="G61" t="s">
        <v>42</v>
      </c>
      <c r="H61" s="2">
        <v>145</v>
      </c>
      <c r="I61" s="2">
        <v>0</v>
      </c>
      <c r="J61" s="26">
        <v>45361</v>
      </c>
      <c r="K61" s="27">
        <v>80691569</v>
      </c>
      <c r="L61" s="28">
        <f>H61-I61</f>
        <v>145</v>
      </c>
      <c r="M61" s="2">
        <v>60</v>
      </c>
      <c r="P61" s="26">
        <v>45361</v>
      </c>
      <c r="Q61" t="s">
        <v>85</v>
      </c>
      <c r="R61" s="30">
        <f>E61-I61-M61</f>
        <v>85</v>
      </c>
      <c r="S61" s="30"/>
    </row>
    <row r="62" spans="2:19" hidden="1">
      <c r="B62" s="22">
        <v>45280</v>
      </c>
      <c r="C62" t="s">
        <v>80</v>
      </c>
      <c r="D62" t="s">
        <v>83</v>
      </c>
      <c r="E62" s="2">
        <v>145</v>
      </c>
      <c r="G62" t="s">
        <v>86</v>
      </c>
      <c r="J62" s="26">
        <v>45361</v>
      </c>
      <c r="K62" s="27">
        <v>80691569</v>
      </c>
      <c r="L62" s="28">
        <v>145</v>
      </c>
      <c r="M62" s="2">
        <v>60</v>
      </c>
      <c r="P62" s="26">
        <v>45361</v>
      </c>
      <c r="Q62" t="s">
        <v>87</v>
      </c>
      <c r="R62" s="30">
        <f>E62-I62-M62</f>
        <v>85</v>
      </c>
      <c r="S62" s="30"/>
    </row>
    <row r="63" spans="2:19" hidden="1">
      <c r="B63" s="22">
        <v>45287</v>
      </c>
      <c r="C63" t="s">
        <v>80</v>
      </c>
      <c r="D63" t="s">
        <v>83</v>
      </c>
      <c r="E63" s="2">
        <v>145</v>
      </c>
      <c r="G63" t="s">
        <v>86</v>
      </c>
      <c r="J63" s="26">
        <v>45361</v>
      </c>
      <c r="K63" s="27">
        <v>80691569</v>
      </c>
      <c r="L63" s="28">
        <v>145</v>
      </c>
      <c r="M63" s="2">
        <v>60</v>
      </c>
      <c r="P63" s="26">
        <v>45361</v>
      </c>
      <c r="Q63" t="s">
        <v>85</v>
      </c>
      <c r="R63" s="30">
        <f>E63-I63-M63</f>
        <v>85</v>
      </c>
      <c r="S63" s="30"/>
    </row>
    <row r="64" spans="2:19" hidden="1">
      <c r="B64" s="22">
        <v>45301</v>
      </c>
      <c r="C64" t="s">
        <v>80</v>
      </c>
      <c r="D64" t="s">
        <v>83</v>
      </c>
      <c r="E64" s="2">
        <v>145</v>
      </c>
      <c r="F64" s="22">
        <v>45360</v>
      </c>
      <c r="G64" t="s">
        <v>76</v>
      </c>
      <c r="H64" s="2">
        <v>145</v>
      </c>
      <c r="I64" s="2">
        <v>120</v>
      </c>
      <c r="J64" s="26">
        <v>45361</v>
      </c>
      <c r="K64" s="27">
        <v>80691872</v>
      </c>
      <c r="L64" s="28">
        <f>H64-I64</f>
        <v>25</v>
      </c>
      <c r="M64" s="2">
        <v>25</v>
      </c>
      <c r="R64" s="29"/>
    </row>
    <row r="65" spans="2:19" hidden="1">
      <c r="B65" s="22">
        <v>45308</v>
      </c>
      <c r="C65" t="s">
        <v>80</v>
      </c>
      <c r="D65" t="s">
        <v>83</v>
      </c>
      <c r="E65" s="2">
        <v>145</v>
      </c>
      <c r="F65" s="22">
        <v>45360</v>
      </c>
      <c r="G65" t="s">
        <v>76</v>
      </c>
      <c r="H65" s="2">
        <v>145</v>
      </c>
      <c r="I65" s="2">
        <v>145</v>
      </c>
      <c r="L65" s="2">
        <v>0</v>
      </c>
    </row>
    <row r="66" spans="2:19" hidden="1">
      <c r="B66" s="22">
        <v>45315</v>
      </c>
      <c r="C66" t="s">
        <v>80</v>
      </c>
      <c r="D66" t="s">
        <v>83</v>
      </c>
      <c r="E66" s="2">
        <v>145</v>
      </c>
      <c r="F66" s="22">
        <v>45360</v>
      </c>
      <c r="G66">
        <v>1019871660</v>
      </c>
      <c r="H66" s="2">
        <v>145</v>
      </c>
      <c r="I66" s="2" t="s">
        <v>88</v>
      </c>
    </row>
    <row r="67" spans="2:19" hidden="1">
      <c r="B67" s="22">
        <v>45315</v>
      </c>
      <c r="C67" t="s">
        <v>80</v>
      </c>
      <c r="D67" t="s">
        <v>83</v>
      </c>
      <c r="E67" s="2">
        <v>145</v>
      </c>
      <c r="F67" s="22">
        <v>45369</v>
      </c>
      <c r="H67" s="2">
        <v>145</v>
      </c>
      <c r="I67" s="2">
        <v>90</v>
      </c>
      <c r="J67" s="22">
        <v>45369</v>
      </c>
      <c r="K67">
        <v>81025754</v>
      </c>
      <c r="L67" s="2">
        <f>H67-I67</f>
        <v>55</v>
      </c>
      <c r="M67" s="2">
        <v>55</v>
      </c>
    </row>
    <row r="68" spans="2:19" hidden="1">
      <c r="B68" s="22">
        <v>45322</v>
      </c>
      <c r="C68" t="s">
        <v>80</v>
      </c>
      <c r="D68" t="s">
        <v>83</v>
      </c>
      <c r="E68" s="2">
        <v>145</v>
      </c>
      <c r="F68" s="22">
        <v>45360</v>
      </c>
      <c r="G68" t="s">
        <v>76</v>
      </c>
      <c r="H68" s="2">
        <v>145</v>
      </c>
      <c r="I68" s="2">
        <v>145</v>
      </c>
    </row>
    <row r="69" spans="2:19" hidden="1">
      <c r="B69" s="22">
        <v>45329</v>
      </c>
      <c r="C69" t="s">
        <v>80</v>
      </c>
      <c r="D69" t="s">
        <v>83</v>
      </c>
      <c r="E69" s="2">
        <v>145</v>
      </c>
      <c r="G69" t="s">
        <v>86</v>
      </c>
      <c r="J69" s="22">
        <v>45361</v>
      </c>
      <c r="K69">
        <v>80691872</v>
      </c>
      <c r="L69" s="2">
        <v>145</v>
      </c>
      <c r="M69" s="2">
        <v>130</v>
      </c>
      <c r="P69" s="1">
        <v>45376</v>
      </c>
      <c r="Q69" t="s">
        <v>76</v>
      </c>
      <c r="R69" s="30">
        <v>15</v>
      </c>
      <c r="S69" s="30">
        <v>15</v>
      </c>
    </row>
    <row r="70" spans="2:19" hidden="1">
      <c r="B70" s="22">
        <v>45355</v>
      </c>
      <c r="C70" t="s">
        <v>41</v>
      </c>
      <c r="D70" t="s">
        <v>89</v>
      </c>
      <c r="E70" s="2">
        <v>180</v>
      </c>
      <c r="F70" s="22">
        <v>45360</v>
      </c>
      <c r="G70">
        <v>1019871419</v>
      </c>
      <c r="H70" s="2">
        <v>180</v>
      </c>
      <c r="I70" s="2">
        <v>180</v>
      </c>
    </row>
    <row r="71" spans="2:19" hidden="1">
      <c r="B71" s="22">
        <v>45370</v>
      </c>
      <c r="C71" t="s">
        <v>41</v>
      </c>
      <c r="D71" t="s">
        <v>89</v>
      </c>
      <c r="E71" s="2">
        <v>180</v>
      </c>
      <c r="F71" s="22">
        <v>45373</v>
      </c>
      <c r="G71" t="s">
        <v>76</v>
      </c>
      <c r="H71" s="2">
        <v>180</v>
      </c>
      <c r="I71" s="2">
        <v>180</v>
      </c>
    </row>
    <row r="72" spans="2:19" hidden="1">
      <c r="B72" s="22">
        <v>45371</v>
      </c>
      <c r="C72" t="s">
        <v>33</v>
      </c>
      <c r="D72" t="s">
        <v>28</v>
      </c>
      <c r="E72" s="2">
        <v>29.36</v>
      </c>
      <c r="F72" s="22">
        <v>45371</v>
      </c>
      <c r="G72" t="s">
        <v>76</v>
      </c>
      <c r="H72" s="2">
        <v>29.36</v>
      </c>
      <c r="I72" s="2">
        <v>16.37</v>
      </c>
      <c r="J72" s="22">
        <v>45376</v>
      </c>
      <c r="K72">
        <v>81289303</v>
      </c>
      <c r="L72" s="2">
        <v>12.99</v>
      </c>
      <c r="M72" s="2">
        <v>12.99</v>
      </c>
    </row>
    <row r="73" spans="2:19" hidden="1">
      <c r="B73" s="22">
        <v>45377</v>
      </c>
      <c r="C73" t="s">
        <v>41</v>
      </c>
      <c r="D73" t="s">
        <v>89</v>
      </c>
      <c r="E73" s="2">
        <v>180</v>
      </c>
      <c r="F73" s="1">
        <v>45407</v>
      </c>
      <c r="G73" t="s">
        <v>76</v>
      </c>
      <c r="H73" s="2">
        <v>180</v>
      </c>
      <c r="I73" s="2">
        <v>180</v>
      </c>
    </row>
    <row r="74" spans="2:19" hidden="1">
      <c r="B74" s="22">
        <v>45398</v>
      </c>
      <c r="C74" t="s">
        <v>33</v>
      </c>
      <c r="D74" t="s">
        <v>34</v>
      </c>
      <c r="E74" s="2">
        <v>328</v>
      </c>
      <c r="F74" s="22">
        <v>45398</v>
      </c>
      <c r="G74" t="s">
        <v>76</v>
      </c>
      <c r="H74" s="2">
        <v>328</v>
      </c>
      <c r="I74" s="2">
        <v>262.39999999999998</v>
      </c>
      <c r="J74" s="23">
        <v>45407</v>
      </c>
      <c r="K74" s="16" t="s">
        <v>90</v>
      </c>
      <c r="L74" s="14">
        <f>H74-I74</f>
        <v>65.600000000000023</v>
      </c>
      <c r="N74" t="s">
        <v>82</v>
      </c>
    </row>
    <row r="75" spans="2:19" hidden="1">
      <c r="B75" s="22">
        <v>45400</v>
      </c>
      <c r="C75" t="s">
        <v>41</v>
      </c>
      <c r="D75" t="s">
        <v>89</v>
      </c>
      <c r="E75" s="2">
        <v>180</v>
      </c>
      <c r="F75" s="1">
        <v>45407</v>
      </c>
      <c r="G75" t="s">
        <v>76</v>
      </c>
      <c r="H75" s="2">
        <v>180</v>
      </c>
      <c r="I75" s="2">
        <v>180</v>
      </c>
    </row>
    <row r="76" spans="2:19" hidden="1">
      <c r="B76" s="22">
        <v>45412</v>
      </c>
      <c r="C76" t="s">
        <v>41</v>
      </c>
      <c r="D76" t="s">
        <v>89</v>
      </c>
      <c r="E76" s="2">
        <v>180</v>
      </c>
      <c r="F76" s="22">
        <v>45412</v>
      </c>
      <c r="G76" t="s">
        <v>76</v>
      </c>
      <c r="H76" s="2">
        <v>180</v>
      </c>
      <c r="I76" s="2">
        <v>180</v>
      </c>
    </row>
    <row r="77" spans="2:19" hidden="1">
      <c r="B77" s="22">
        <v>45419</v>
      </c>
      <c r="C77" t="s">
        <v>41</v>
      </c>
      <c r="D77" t="s">
        <v>89</v>
      </c>
      <c r="E77" s="2">
        <v>180</v>
      </c>
      <c r="F77" s="22">
        <v>45423</v>
      </c>
      <c r="G77" t="s">
        <v>76</v>
      </c>
      <c r="H77" s="2">
        <v>180</v>
      </c>
      <c r="I77" s="2">
        <v>180</v>
      </c>
    </row>
    <row r="78" spans="2:19" hidden="1">
      <c r="B78" s="22">
        <v>45426</v>
      </c>
      <c r="C78" t="s">
        <v>41</v>
      </c>
      <c r="D78" t="s">
        <v>89</v>
      </c>
      <c r="E78" s="2">
        <v>180</v>
      </c>
      <c r="F78" s="22">
        <v>45426</v>
      </c>
      <c r="G78" t="s">
        <v>76</v>
      </c>
      <c r="H78" s="2">
        <v>180</v>
      </c>
      <c r="I78" s="2">
        <v>180</v>
      </c>
    </row>
    <row r="79" spans="2:19" hidden="1">
      <c r="B79" s="22">
        <v>45433</v>
      </c>
      <c r="C79" t="s">
        <v>41</v>
      </c>
      <c r="D79" t="s">
        <v>89</v>
      </c>
      <c r="E79" s="2">
        <v>180</v>
      </c>
      <c r="F79" s="22">
        <v>45434</v>
      </c>
      <c r="G79" t="s">
        <v>76</v>
      </c>
      <c r="H79" s="2">
        <v>180</v>
      </c>
      <c r="I79" s="2">
        <v>180</v>
      </c>
    </row>
    <row r="80" spans="2:19" hidden="1">
      <c r="B80" s="22">
        <v>45440</v>
      </c>
      <c r="C80" t="s">
        <v>41</v>
      </c>
      <c r="D80" t="s">
        <v>89</v>
      </c>
      <c r="E80" s="2">
        <v>180</v>
      </c>
      <c r="F80" s="22">
        <v>45434</v>
      </c>
      <c r="G80" t="s">
        <v>76</v>
      </c>
      <c r="H80" s="2">
        <v>180</v>
      </c>
      <c r="I80" s="2">
        <v>60</v>
      </c>
      <c r="J80" s="35">
        <v>45443</v>
      </c>
      <c r="K80" s="36">
        <v>84007115</v>
      </c>
      <c r="L80" s="37">
        <f>H80-I80</f>
        <v>120</v>
      </c>
      <c r="M80" s="37"/>
      <c r="N80" s="34" t="s">
        <v>91</v>
      </c>
    </row>
    <row r="81" spans="2:16" hidden="1">
      <c r="B81" s="22">
        <v>45447</v>
      </c>
      <c r="C81" t="s">
        <v>41</v>
      </c>
      <c r="D81" t="s">
        <v>89</v>
      </c>
      <c r="E81" s="2">
        <v>180</v>
      </c>
      <c r="F81" s="22">
        <v>45453</v>
      </c>
      <c r="G81" t="s">
        <v>92</v>
      </c>
      <c r="H81" s="2">
        <v>180</v>
      </c>
      <c r="I81" s="2">
        <v>0</v>
      </c>
      <c r="J81" s="22">
        <v>45453</v>
      </c>
      <c r="K81">
        <v>26762765</v>
      </c>
      <c r="L81" s="2">
        <v>180</v>
      </c>
    </row>
    <row r="82" spans="2:16" hidden="1">
      <c r="B82" s="22">
        <v>45444</v>
      </c>
      <c r="J82" s="22">
        <v>45453</v>
      </c>
      <c r="K82">
        <v>84335002</v>
      </c>
      <c r="L82" s="2">
        <v>120</v>
      </c>
      <c r="N82" t="s">
        <v>93</v>
      </c>
    </row>
    <row r="83" spans="2:16" hidden="1">
      <c r="B83" s="22">
        <v>45454</v>
      </c>
      <c r="C83" t="s">
        <v>41</v>
      </c>
      <c r="D83" t="s">
        <v>89</v>
      </c>
      <c r="E83" s="2">
        <v>180</v>
      </c>
      <c r="F83" s="22">
        <v>45453</v>
      </c>
      <c r="G83" t="s">
        <v>92</v>
      </c>
      <c r="H83" s="2">
        <v>180</v>
      </c>
      <c r="I83" s="2">
        <v>0</v>
      </c>
      <c r="J83" s="22">
        <v>45459</v>
      </c>
      <c r="K83">
        <v>84581633</v>
      </c>
      <c r="L83" s="2">
        <v>180</v>
      </c>
    </row>
    <row r="84" spans="2:16" hidden="1">
      <c r="B84" s="22">
        <v>45468</v>
      </c>
      <c r="C84" t="s">
        <v>41</v>
      </c>
      <c r="D84" t="s">
        <v>89</v>
      </c>
      <c r="E84" s="2">
        <v>180</v>
      </c>
      <c r="F84" s="22" t="s">
        <v>94</v>
      </c>
      <c r="G84" t="s">
        <v>92</v>
      </c>
      <c r="H84" s="2" t="s">
        <v>94</v>
      </c>
      <c r="J84" s="22">
        <v>45476</v>
      </c>
      <c r="K84">
        <v>85235821</v>
      </c>
      <c r="L84" s="2">
        <v>180</v>
      </c>
    </row>
    <row r="85" spans="2:16" hidden="1">
      <c r="B85" s="22">
        <v>45470</v>
      </c>
      <c r="C85" t="s">
        <v>27</v>
      </c>
      <c r="D85" t="s">
        <v>39</v>
      </c>
      <c r="E85" s="2">
        <v>370</v>
      </c>
      <c r="F85" s="22">
        <v>45470</v>
      </c>
      <c r="G85" t="s">
        <v>95</v>
      </c>
      <c r="H85" s="2">
        <v>200</v>
      </c>
      <c r="I85" s="2">
        <v>200</v>
      </c>
      <c r="J85" s="22">
        <v>45472</v>
      </c>
      <c r="K85">
        <v>85091146</v>
      </c>
      <c r="L85" s="2">
        <f>E85-I85</f>
        <v>170</v>
      </c>
      <c r="M85" s="2">
        <v>170</v>
      </c>
      <c r="N85" t="s">
        <v>91</v>
      </c>
    </row>
    <row r="86" spans="2:16" hidden="1">
      <c r="B86" s="22">
        <v>45470</v>
      </c>
      <c r="C86" t="s">
        <v>41</v>
      </c>
      <c r="D86" t="s">
        <v>39</v>
      </c>
      <c r="E86" s="2">
        <v>335</v>
      </c>
      <c r="F86" s="22">
        <v>45470</v>
      </c>
      <c r="G86" t="s">
        <v>95</v>
      </c>
      <c r="H86" s="2">
        <v>200</v>
      </c>
      <c r="I86" s="2">
        <v>200</v>
      </c>
      <c r="J86" s="22">
        <v>45472</v>
      </c>
      <c r="K86" t="s">
        <v>84</v>
      </c>
      <c r="L86" s="2">
        <v>135</v>
      </c>
      <c r="M86" s="2">
        <v>135</v>
      </c>
      <c r="N86" t="s">
        <v>91</v>
      </c>
      <c r="O86" t="s">
        <v>96</v>
      </c>
    </row>
    <row r="87" spans="2:16" hidden="1">
      <c r="B87" s="22">
        <v>45471</v>
      </c>
      <c r="C87" t="s">
        <v>50</v>
      </c>
      <c r="D87" t="s">
        <v>97</v>
      </c>
      <c r="E87" s="2">
        <v>150</v>
      </c>
      <c r="F87" s="22" t="s">
        <v>55</v>
      </c>
      <c r="J87" s="22">
        <v>45472</v>
      </c>
      <c r="K87">
        <v>85090848</v>
      </c>
      <c r="L87" s="2">
        <v>150</v>
      </c>
      <c r="M87" s="2">
        <v>150</v>
      </c>
      <c r="N87" t="s">
        <v>91</v>
      </c>
      <c r="O87" t="s">
        <v>96</v>
      </c>
    </row>
    <row r="88" spans="2:16" hidden="1">
      <c r="B88" s="22">
        <v>45475</v>
      </c>
      <c r="C88" t="s">
        <v>41</v>
      </c>
      <c r="D88" t="s">
        <v>89</v>
      </c>
      <c r="E88" s="2">
        <v>180</v>
      </c>
      <c r="F88" s="22" t="s">
        <v>94</v>
      </c>
      <c r="G88" t="s">
        <v>92</v>
      </c>
      <c r="H88" s="2" t="s">
        <v>94</v>
      </c>
      <c r="J88" s="22">
        <v>45476</v>
      </c>
      <c r="K88">
        <v>85235821</v>
      </c>
      <c r="L88" s="2">
        <v>180</v>
      </c>
      <c r="M88" s="2">
        <v>180</v>
      </c>
    </row>
    <row r="89" spans="2:16" hidden="1">
      <c r="B89" s="22">
        <v>45482</v>
      </c>
      <c r="C89" t="s">
        <v>41</v>
      </c>
      <c r="D89" t="s">
        <v>89</v>
      </c>
      <c r="E89" s="2">
        <v>180</v>
      </c>
      <c r="F89" s="22" t="s">
        <v>94</v>
      </c>
      <c r="G89" t="s">
        <v>92</v>
      </c>
      <c r="H89" s="2" t="s">
        <v>94</v>
      </c>
      <c r="J89" s="22">
        <v>45488</v>
      </c>
      <c r="K89">
        <v>85690862</v>
      </c>
      <c r="L89" s="2">
        <v>180</v>
      </c>
      <c r="M89" s="2">
        <v>180</v>
      </c>
    </row>
    <row r="90" spans="2:16" hidden="1">
      <c r="B90" s="22">
        <v>45484</v>
      </c>
      <c r="C90" t="s">
        <v>33</v>
      </c>
      <c r="D90" t="s">
        <v>28</v>
      </c>
      <c r="E90" s="2">
        <v>47.39</v>
      </c>
      <c r="F90" s="22">
        <v>45484</v>
      </c>
      <c r="H90" s="2">
        <v>47.39</v>
      </c>
      <c r="I90" s="2">
        <v>34.4</v>
      </c>
      <c r="J90" s="22">
        <v>45485</v>
      </c>
      <c r="L90" s="2">
        <f>H90-I90</f>
        <v>12.990000000000002</v>
      </c>
      <c r="O90" t="s">
        <v>98</v>
      </c>
      <c r="P90" s="22"/>
    </row>
    <row r="91" spans="2:16" hidden="1">
      <c r="B91" s="22">
        <v>45485</v>
      </c>
      <c r="C91" t="s">
        <v>33</v>
      </c>
      <c r="D91" t="s">
        <v>28</v>
      </c>
      <c r="E91" s="2">
        <v>32.9</v>
      </c>
      <c r="F91" s="22">
        <v>45484</v>
      </c>
      <c r="H91" s="2">
        <v>32.9</v>
      </c>
      <c r="I91" s="2">
        <v>19.91</v>
      </c>
      <c r="J91" s="22">
        <v>45485</v>
      </c>
      <c r="L91" s="2">
        <f>H91-I91</f>
        <v>12.989999999999998</v>
      </c>
      <c r="O91" t="s">
        <v>99</v>
      </c>
      <c r="P91" s="22"/>
    </row>
    <row r="92" spans="2:16" hidden="1">
      <c r="B92" s="22">
        <v>45490</v>
      </c>
      <c r="C92" t="s">
        <v>27</v>
      </c>
      <c r="D92" t="s">
        <v>100</v>
      </c>
      <c r="E92" s="2">
        <v>180</v>
      </c>
      <c r="F92" s="22">
        <v>45493</v>
      </c>
      <c r="G92" t="s">
        <v>101</v>
      </c>
      <c r="H92" s="2">
        <v>180</v>
      </c>
      <c r="I92" s="2">
        <v>180</v>
      </c>
      <c r="P92" s="22"/>
    </row>
    <row r="93" spans="2:16" hidden="1">
      <c r="B93" s="22">
        <v>45496</v>
      </c>
      <c r="C93" t="s">
        <v>41</v>
      </c>
      <c r="D93" t="s">
        <v>89</v>
      </c>
      <c r="E93" s="2">
        <v>180</v>
      </c>
      <c r="F93" s="22" t="s">
        <v>94</v>
      </c>
      <c r="G93" t="s">
        <v>92</v>
      </c>
      <c r="H93" s="2" t="s">
        <v>94</v>
      </c>
      <c r="J93" s="22">
        <v>45502</v>
      </c>
      <c r="K93">
        <v>86229152</v>
      </c>
      <c r="L93" s="2">
        <v>180</v>
      </c>
      <c r="M93" s="2">
        <v>180</v>
      </c>
      <c r="P93" s="22"/>
    </row>
    <row r="94" spans="2:16" hidden="1">
      <c r="B94" s="22">
        <v>45497</v>
      </c>
      <c r="C94" t="s">
        <v>27</v>
      </c>
      <c r="D94" t="s">
        <v>100</v>
      </c>
      <c r="E94" s="2">
        <v>180</v>
      </c>
      <c r="F94" s="22">
        <v>45498</v>
      </c>
      <c r="H94" s="2">
        <v>180</v>
      </c>
      <c r="I94" s="2">
        <v>180</v>
      </c>
      <c r="P94" s="22"/>
    </row>
    <row r="95" spans="2:16" hidden="1">
      <c r="B95" s="22">
        <v>45503</v>
      </c>
      <c r="C95" t="s">
        <v>41</v>
      </c>
      <c r="D95" t="s">
        <v>89</v>
      </c>
      <c r="E95" s="2">
        <v>180</v>
      </c>
      <c r="F95" s="22" t="s">
        <v>94</v>
      </c>
      <c r="G95" t="s">
        <v>92</v>
      </c>
      <c r="H95" s="2" t="s">
        <v>94</v>
      </c>
      <c r="J95" s="22">
        <v>45511</v>
      </c>
      <c r="K95">
        <v>86531890</v>
      </c>
      <c r="L95" s="2">
        <v>180</v>
      </c>
      <c r="M95" s="2">
        <v>180</v>
      </c>
      <c r="P95" s="22"/>
    </row>
    <row r="96" spans="2:16" hidden="1">
      <c r="B96" s="22">
        <v>45517</v>
      </c>
      <c r="C96" t="s">
        <v>41</v>
      </c>
      <c r="D96" t="s">
        <v>89</v>
      </c>
      <c r="E96" s="2">
        <v>180</v>
      </c>
      <c r="F96" s="22" t="s">
        <v>94</v>
      </c>
      <c r="G96" t="s">
        <v>92</v>
      </c>
      <c r="H96" s="2" t="s">
        <v>94</v>
      </c>
      <c r="J96" s="22">
        <v>45521</v>
      </c>
      <c r="K96">
        <v>86917573</v>
      </c>
      <c r="L96" s="2">
        <v>180</v>
      </c>
      <c r="M96" s="2">
        <v>180</v>
      </c>
      <c r="N96" t="s">
        <v>91</v>
      </c>
      <c r="P96" s="22"/>
    </row>
    <row r="97" spans="2:24" hidden="1">
      <c r="B97" s="22">
        <v>45531</v>
      </c>
      <c r="C97" t="s">
        <v>41</v>
      </c>
      <c r="D97" t="s">
        <v>89</v>
      </c>
      <c r="E97" s="2">
        <v>180</v>
      </c>
      <c r="F97" s="22" t="s">
        <v>94</v>
      </c>
      <c r="G97" t="s">
        <v>92</v>
      </c>
      <c r="H97" s="2" t="s">
        <v>94</v>
      </c>
      <c r="J97" s="22">
        <v>45549</v>
      </c>
      <c r="K97">
        <v>87995123</v>
      </c>
      <c r="L97" s="2">
        <v>180</v>
      </c>
      <c r="N97" t="s">
        <v>91</v>
      </c>
      <c r="P97" s="22"/>
    </row>
    <row r="98" spans="2:24" hidden="1">
      <c r="B98" s="22">
        <v>45545</v>
      </c>
      <c r="C98" t="s">
        <v>41</v>
      </c>
      <c r="D98" t="s">
        <v>89</v>
      </c>
      <c r="E98" s="2">
        <v>180</v>
      </c>
      <c r="F98" s="22" t="s">
        <v>94</v>
      </c>
      <c r="G98" t="s">
        <v>92</v>
      </c>
      <c r="H98" s="2" t="s">
        <v>94</v>
      </c>
      <c r="J98" s="22">
        <v>45549</v>
      </c>
      <c r="K98">
        <v>87995123</v>
      </c>
      <c r="L98" s="2">
        <v>180</v>
      </c>
      <c r="N98" t="s">
        <v>91</v>
      </c>
      <c r="P98" s="22"/>
      <c r="R98" s="38"/>
    </row>
    <row r="99" spans="2:24" hidden="1">
      <c r="B99" s="22">
        <v>45546</v>
      </c>
      <c r="C99" t="s">
        <v>27</v>
      </c>
      <c r="D99" t="s">
        <v>89</v>
      </c>
      <c r="E99" s="2">
        <v>180</v>
      </c>
      <c r="F99" s="22">
        <v>45549</v>
      </c>
      <c r="G99" t="s">
        <v>102</v>
      </c>
      <c r="H99" s="2">
        <v>180</v>
      </c>
      <c r="P99" s="22"/>
      <c r="R99" s="38"/>
    </row>
    <row r="100" spans="2:24" hidden="1">
      <c r="B100" s="22">
        <v>45552</v>
      </c>
      <c r="C100" t="s">
        <v>41</v>
      </c>
      <c r="D100" t="s">
        <v>89</v>
      </c>
      <c r="E100" s="2">
        <v>180</v>
      </c>
      <c r="G100" t="s">
        <v>92</v>
      </c>
      <c r="J100" s="22">
        <v>45558</v>
      </c>
      <c r="K100">
        <v>88359161</v>
      </c>
      <c r="L100" s="2">
        <v>180</v>
      </c>
      <c r="M100" s="2">
        <v>114.51</v>
      </c>
      <c r="N100" t="s">
        <v>91</v>
      </c>
      <c r="P100" s="23">
        <v>45584</v>
      </c>
      <c r="Q100" s="23" t="s">
        <v>103</v>
      </c>
      <c r="R100" s="39">
        <f>L100-M100</f>
        <v>65.489999999999995</v>
      </c>
      <c r="S100" s="16">
        <v>114.51</v>
      </c>
      <c r="T100" t="s">
        <v>104</v>
      </c>
      <c r="U100" s="22"/>
      <c r="W100" s="2"/>
      <c r="X100" s="22"/>
    </row>
    <row r="101" spans="2:24" hidden="1">
      <c r="B101" s="22">
        <v>45558</v>
      </c>
      <c r="C101" t="s">
        <v>41</v>
      </c>
      <c r="D101" t="s">
        <v>89</v>
      </c>
      <c r="E101" s="2">
        <v>180</v>
      </c>
      <c r="G101" t="s">
        <v>92</v>
      </c>
      <c r="L101" t="s">
        <v>92</v>
      </c>
      <c r="N101" t="s">
        <v>91</v>
      </c>
      <c r="P101" s="23">
        <v>45584</v>
      </c>
      <c r="Q101" s="23" t="s">
        <v>103</v>
      </c>
      <c r="R101" s="39">
        <v>180</v>
      </c>
      <c r="S101" s="16">
        <v>120.49</v>
      </c>
      <c r="U101" s="22"/>
      <c r="W101" s="2"/>
      <c r="X101" s="22"/>
    </row>
    <row r="102" spans="2:24" hidden="1">
      <c r="B102" s="22">
        <v>45560</v>
      </c>
      <c r="C102" t="s">
        <v>27</v>
      </c>
      <c r="D102" t="s">
        <v>89</v>
      </c>
      <c r="E102" s="2">
        <v>180</v>
      </c>
      <c r="F102" s="22">
        <v>45584</v>
      </c>
      <c r="G102" t="s">
        <v>105</v>
      </c>
      <c r="H102" s="2">
        <v>180</v>
      </c>
      <c r="I102" s="2">
        <v>180</v>
      </c>
      <c r="L102"/>
      <c r="P102" s="23"/>
      <c r="Q102" s="23"/>
      <c r="R102" s="39"/>
      <c r="S102" s="16"/>
      <c r="U102" s="22"/>
      <c r="W102" s="2"/>
      <c r="X102" s="22"/>
    </row>
    <row r="103" spans="2:24" hidden="1">
      <c r="B103" s="22">
        <v>45565</v>
      </c>
      <c r="C103" t="s">
        <v>41</v>
      </c>
      <c r="D103" t="s">
        <v>89</v>
      </c>
      <c r="E103" s="2">
        <v>180</v>
      </c>
      <c r="G103" t="s">
        <v>92</v>
      </c>
      <c r="L103" t="s">
        <v>92</v>
      </c>
      <c r="N103" t="s">
        <v>91</v>
      </c>
      <c r="Q103" t="s">
        <v>92</v>
      </c>
      <c r="R103" s="38"/>
      <c r="U103" s="22">
        <v>45584</v>
      </c>
      <c r="V103">
        <v>89369705</v>
      </c>
      <c r="W103" s="2">
        <v>180</v>
      </c>
      <c r="X103" s="2">
        <v>180</v>
      </c>
    </row>
    <row r="104" spans="2:24" hidden="1">
      <c r="B104" s="22">
        <v>45572</v>
      </c>
      <c r="C104" t="s">
        <v>41</v>
      </c>
      <c r="D104" t="s">
        <v>89</v>
      </c>
      <c r="E104" s="2">
        <v>180</v>
      </c>
      <c r="G104" t="s">
        <v>92</v>
      </c>
      <c r="L104" t="s">
        <v>92</v>
      </c>
      <c r="N104" t="s">
        <v>91</v>
      </c>
      <c r="Q104" t="s">
        <v>92</v>
      </c>
      <c r="R104" s="38"/>
      <c r="U104" s="22">
        <v>45584</v>
      </c>
      <c r="V104">
        <v>89369705</v>
      </c>
      <c r="W104" s="2">
        <v>180</v>
      </c>
      <c r="X104" s="2">
        <v>180</v>
      </c>
    </row>
    <row r="105" spans="2:24" hidden="1">
      <c r="B105" s="22">
        <v>45575</v>
      </c>
      <c r="C105" t="s">
        <v>27</v>
      </c>
      <c r="D105" t="s">
        <v>89</v>
      </c>
      <c r="E105" s="2">
        <v>180</v>
      </c>
      <c r="F105" s="22">
        <v>45584</v>
      </c>
      <c r="G105" t="s">
        <v>105</v>
      </c>
      <c r="H105" s="2">
        <v>180</v>
      </c>
      <c r="I105" s="2">
        <v>180</v>
      </c>
      <c r="L105"/>
      <c r="R105" s="38"/>
    </row>
    <row r="106" spans="2:24" hidden="1">
      <c r="B106" s="22">
        <v>45580</v>
      </c>
      <c r="C106" t="s">
        <v>41</v>
      </c>
      <c r="D106" t="s">
        <v>89</v>
      </c>
      <c r="E106" s="2">
        <v>180</v>
      </c>
      <c r="G106" t="s">
        <v>92</v>
      </c>
      <c r="L106" t="s">
        <v>92</v>
      </c>
      <c r="N106" t="s">
        <v>91</v>
      </c>
      <c r="Q106" t="s">
        <v>92</v>
      </c>
      <c r="R106" s="38"/>
      <c r="U106" s="23">
        <v>45612</v>
      </c>
      <c r="V106" s="16">
        <v>90518829</v>
      </c>
      <c r="W106" s="39">
        <v>180</v>
      </c>
      <c r="X106" t="s">
        <v>56</v>
      </c>
    </row>
    <row r="107" spans="2:24" hidden="1">
      <c r="B107" s="22">
        <v>45588</v>
      </c>
      <c r="C107" t="s">
        <v>41</v>
      </c>
      <c r="D107" t="s">
        <v>89</v>
      </c>
      <c r="E107" s="2">
        <v>180</v>
      </c>
      <c r="F107" s="23">
        <v>45612</v>
      </c>
      <c r="G107" s="16">
        <v>1021926002</v>
      </c>
      <c r="H107" s="14">
        <v>180</v>
      </c>
      <c r="I107" s="16" t="s">
        <v>105</v>
      </c>
      <c r="L107"/>
      <c r="R107" s="38"/>
      <c r="U107" s="23"/>
      <c r="V107" s="16"/>
      <c r="W107" s="39"/>
    </row>
    <row r="108" spans="2:24" hidden="1">
      <c r="B108" s="22">
        <v>45589</v>
      </c>
      <c r="C108" t="s">
        <v>41</v>
      </c>
      <c r="D108" t="s">
        <v>89</v>
      </c>
      <c r="E108" s="2">
        <v>180</v>
      </c>
      <c r="G108" t="s">
        <v>92</v>
      </c>
      <c r="L108" t="s">
        <v>92</v>
      </c>
      <c r="N108" t="s">
        <v>91</v>
      </c>
      <c r="Q108" t="s">
        <v>92</v>
      </c>
      <c r="R108" s="38"/>
      <c r="U108" s="23">
        <v>45612</v>
      </c>
      <c r="V108" s="16">
        <v>90518829</v>
      </c>
      <c r="W108" s="39">
        <v>180</v>
      </c>
      <c r="X108" t="s">
        <v>56</v>
      </c>
    </row>
    <row r="109" spans="2:24" hidden="1">
      <c r="B109" s="22">
        <v>45594</v>
      </c>
      <c r="C109" t="s">
        <v>41</v>
      </c>
      <c r="D109" t="s">
        <v>89</v>
      </c>
      <c r="E109" s="2">
        <v>180</v>
      </c>
      <c r="G109" t="s">
        <v>92</v>
      </c>
      <c r="L109" t="s">
        <v>92</v>
      </c>
      <c r="N109" t="s">
        <v>91</v>
      </c>
      <c r="Q109" s="22" t="s">
        <v>92</v>
      </c>
      <c r="R109" s="38"/>
      <c r="V109" t="s">
        <v>92</v>
      </c>
      <c r="W109" s="38"/>
    </row>
    <row r="110" spans="2:24" hidden="1">
      <c r="B110" s="22">
        <v>45596</v>
      </c>
      <c r="C110" t="s">
        <v>33</v>
      </c>
      <c r="D110" t="s">
        <v>34</v>
      </c>
      <c r="E110" s="2">
        <v>197</v>
      </c>
      <c r="F110" s="22">
        <v>45596</v>
      </c>
      <c r="G110" t="s">
        <v>76</v>
      </c>
      <c r="H110" s="2">
        <v>197</v>
      </c>
      <c r="I110" s="2">
        <v>157.6</v>
      </c>
      <c r="J110" s="22">
        <v>45599</v>
      </c>
      <c r="K110" t="s">
        <v>106</v>
      </c>
      <c r="L110" s="2">
        <f>H110-I110</f>
        <v>39.400000000000006</v>
      </c>
      <c r="M110" s="2">
        <v>39.4</v>
      </c>
      <c r="N110" t="s">
        <v>82</v>
      </c>
    </row>
    <row r="111" spans="2:24" hidden="1">
      <c r="B111" s="40">
        <v>45601</v>
      </c>
      <c r="C111" s="41" t="s">
        <v>41</v>
      </c>
      <c r="D111" s="41" t="s">
        <v>89</v>
      </c>
      <c r="E111" s="42">
        <v>180</v>
      </c>
      <c r="F111" s="40"/>
      <c r="G111" s="41" t="s">
        <v>92</v>
      </c>
      <c r="H111" s="42"/>
      <c r="I111" s="42"/>
      <c r="J111" s="40"/>
      <c r="K111" s="41"/>
      <c r="L111" s="41" t="s">
        <v>92</v>
      </c>
      <c r="M111" s="42"/>
      <c r="N111" s="41" t="s">
        <v>91</v>
      </c>
      <c r="O111" s="41"/>
      <c r="P111" s="41"/>
      <c r="Q111" s="41" t="s">
        <v>92</v>
      </c>
      <c r="R111" s="43"/>
      <c r="S111" s="41"/>
      <c r="T111" s="41"/>
      <c r="U111" s="41"/>
      <c r="V111" s="41" t="s">
        <v>92</v>
      </c>
      <c r="W111" s="43"/>
      <c r="X111" s="41"/>
    </row>
    <row r="112" spans="2:24" hidden="1">
      <c r="B112" s="40">
        <v>45608</v>
      </c>
      <c r="C112" s="41" t="s">
        <v>41</v>
      </c>
      <c r="D112" s="41" t="s">
        <v>89</v>
      </c>
      <c r="E112" s="42">
        <v>180</v>
      </c>
      <c r="F112" s="40"/>
      <c r="G112" s="41" t="s">
        <v>92</v>
      </c>
      <c r="H112" s="42"/>
      <c r="I112" s="42"/>
      <c r="J112" s="40"/>
      <c r="K112" s="41"/>
      <c r="L112" s="41" t="s">
        <v>92</v>
      </c>
      <c r="M112" s="42"/>
      <c r="N112" s="41" t="s">
        <v>91</v>
      </c>
      <c r="O112" s="41"/>
      <c r="P112" s="41"/>
      <c r="Q112" s="41" t="s">
        <v>92</v>
      </c>
      <c r="R112" s="43"/>
      <c r="S112" s="41"/>
      <c r="T112" s="41"/>
      <c r="U112" s="41"/>
      <c r="V112" s="41" t="s">
        <v>92</v>
      </c>
      <c r="W112" s="43"/>
      <c r="X112" s="41"/>
    </row>
    <row r="113" spans="2:14" hidden="1">
      <c r="B113" s="22">
        <v>45623</v>
      </c>
      <c r="C113" t="s">
        <v>33</v>
      </c>
      <c r="D113" t="s">
        <v>89</v>
      </c>
      <c r="E113" s="2">
        <v>150</v>
      </c>
      <c r="F113" s="22">
        <v>45624</v>
      </c>
      <c r="H113" s="2">
        <v>150</v>
      </c>
      <c r="I113" s="2">
        <v>150</v>
      </c>
    </row>
    <row r="114" spans="2:14" hidden="1">
      <c r="B114" s="22">
        <v>45637</v>
      </c>
      <c r="C114" t="s">
        <v>33</v>
      </c>
      <c r="D114" t="s">
        <v>89</v>
      </c>
      <c r="E114" s="2">
        <v>150</v>
      </c>
      <c r="F114" s="22">
        <v>45643</v>
      </c>
      <c r="H114" s="2">
        <v>150</v>
      </c>
      <c r="I114" s="2">
        <v>150</v>
      </c>
    </row>
    <row r="115" spans="2:14" hidden="1">
      <c r="B115" s="22">
        <v>45644</v>
      </c>
      <c r="C115" t="s">
        <v>27</v>
      </c>
      <c r="D115" t="s">
        <v>107</v>
      </c>
      <c r="E115" s="2">
        <v>180</v>
      </c>
      <c r="F115" s="22">
        <v>45644</v>
      </c>
      <c r="H115" s="2">
        <v>180</v>
      </c>
      <c r="I115" s="2">
        <v>150</v>
      </c>
    </row>
    <row r="116" spans="2:14" hidden="1">
      <c r="B116" s="22">
        <v>45645</v>
      </c>
      <c r="C116" t="s">
        <v>33</v>
      </c>
      <c r="D116" t="s">
        <v>107</v>
      </c>
      <c r="E116" s="2">
        <v>150</v>
      </c>
      <c r="F116" s="22">
        <v>45646</v>
      </c>
      <c r="H116" s="2">
        <v>150</v>
      </c>
      <c r="I116" s="2">
        <v>150</v>
      </c>
    </row>
    <row r="117" spans="2:14">
      <c r="B117" s="22">
        <v>45678</v>
      </c>
      <c r="C117" t="s">
        <v>41</v>
      </c>
      <c r="D117" t="s">
        <v>107</v>
      </c>
      <c r="E117" s="2">
        <v>180</v>
      </c>
      <c r="F117" s="22">
        <v>45698</v>
      </c>
      <c r="G117" t="s">
        <v>76</v>
      </c>
      <c r="H117" s="2">
        <v>180</v>
      </c>
      <c r="I117" s="2">
        <v>180</v>
      </c>
    </row>
    <row r="118" spans="2:14" hidden="1">
      <c r="B118" s="22">
        <v>45678</v>
      </c>
      <c r="C118" t="s">
        <v>108</v>
      </c>
      <c r="D118" t="s">
        <v>107</v>
      </c>
      <c r="E118" s="2">
        <v>180</v>
      </c>
      <c r="F118" s="22">
        <v>45698</v>
      </c>
      <c r="G118" t="s">
        <v>109</v>
      </c>
      <c r="H118" s="2">
        <v>180</v>
      </c>
      <c r="I118" s="2">
        <v>180</v>
      </c>
    </row>
    <row r="119" spans="2:14" hidden="1">
      <c r="B119" s="22">
        <v>45684</v>
      </c>
      <c r="C119" t="s">
        <v>33</v>
      </c>
      <c r="D119" t="s">
        <v>107</v>
      </c>
      <c r="E119" s="2">
        <v>150</v>
      </c>
      <c r="F119" s="22">
        <v>45684</v>
      </c>
      <c r="G119" t="s">
        <v>76</v>
      </c>
      <c r="H119" s="2">
        <v>150</v>
      </c>
      <c r="I119" s="2">
        <v>125</v>
      </c>
      <c r="J119" s="23" t="s">
        <v>110</v>
      </c>
    </row>
    <row r="120" spans="2:14" hidden="1">
      <c r="B120" s="22">
        <v>45684</v>
      </c>
      <c r="C120" t="s">
        <v>111</v>
      </c>
      <c r="D120" t="s">
        <v>107</v>
      </c>
      <c r="E120" s="2">
        <v>180</v>
      </c>
      <c r="F120" s="22" t="s">
        <v>112</v>
      </c>
    </row>
    <row r="121" spans="2:14">
      <c r="B121" s="22">
        <v>45686</v>
      </c>
      <c r="C121" t="s">
        <v>27</v>
      </c>
      <c r="D121" t="s">
        <v>107</v>
      </c>
      <c r="E121" s="2">
        <v>180</v>
      </c>
      <c r="F121" s="22">
        <v>45698</v>
      </c>
      <c r="G121" t="s">
        <v>76</v>
      </c>
      <c r="H121" s="2">
        <v>180</v>
      </c>
      <c r="I121" s="2">
        <v>180</v>
      </c>
    </row>
    <row r="122" spans="2:14">
      <c r="B122" s="22">
        <v>45692</v>
      </c>
      <c r="C122" t="s">
        <v>41</v>
      </c>
      <c r="D122" t="s">
        <v>107</v>
      </c>
      <c r="E122" s="2">
        <v>180</v>
      </c>
      <c r="F122" s="22">
        <v>45698</v>
      </c>
      <c r="G122" t="s">
        <v>76</v>
      </c>
      <c r="H122" s="2">
        <v>180</v>
      </c>
      <c r="I122" s="2">
        <v>180</v>
      </c>
    </row>
    <row r="123" spans="2:14" hidden="1">
      <c r="B123" s="22">
        <v>45694</v>
      </c>
      <c r="C123" t="s">
        <v>27</v>
      </c>
      <c r="D123" t="s">
        <v>107</v>
      </c>
      <c r="E123" s="2">
        <v>180</v>
      </c>
      <c r="F123" s="22">
        <v>45901</v>
      </c>
      <c r="G123" s="41" t="s">
        <v>113</v>
      </c>
      <c r="H123" s="2">
        <v>180</v>
      </c>
      <c r="I123" s="2">
        <v>0</v>
      </c>
      <c r="J123" s="23">
        <v>45911</v>
      </c>
      <c r="K123" s="16">
        <v>102952042</v>
      </c>
      <c r="L123" s="14">
        <v>180</v>
      </c>
    </row>
    <row r="124" spans="2:14">
      <c r="B124" s="22">
        <v>45698</v>
      </c>
      <c r="C124" t="s">
        <v>27</v>
      </c>
      <c r="D124" t="s">
        <v>46</v>
      </c>
      <c r="E124" s="2">
        <v>600</v>
      </c>
      <c r="F124" s="40">
        <v>45698</v>
      </c>
      <c r="G124" s="41" t="s">
        <v>114</v>
      </c>
      <c r="H124" s="42">
        <v>600</v>
      </c>
    </row>
    <row r="125" spans="2:14">
      <c r="B125" s="22">
        <v>45698</v>
      </c>
      <c r="C125" t="s">
        <v>41</v>
      </c>
      <c r="D125" t="s">
        <v>46</v>
      </c>
      <c r="E125" s="2">
        <v>600</v>
      </c>
      <c r="F125" s="40">
        <v>45698</v>
      </c>
      <c r="G125" s="41" t="s">
        <v>114</v>
      </c>
      <c r="H125" s="42">
        <v>600</v>
      </c>
    </row>
    <row r="126" spans="2:14">
      <c r="B126" s="22">
        <v>45698</v>
      </c>
      <c r="C126" t="s">
        <v>27</v>
      </c>
      <c r="D126" t="s">
        <v>46</v>
      </c>
      <c r="E126" s="2">
        <v>600</v>
      </c>
      <c r="F126" s="22">
        <v>45723</v>
      </c>
      <c r="G126" t="s">
        <v>115</v>
      </c>
      <c r="H126" s="2">
        <v>100</v>
      </c>
      <c r="I126" s="2">
        <v>100</v>
      </c>
    </row>
    <row r="127" spans="2:14">
      <c r="B127" s="22">
        <v>45698</v>
      </c>
      <c r="C127" t="s">
        <v>41</v>
      </c>
      <c r="D127" t="s">
        <v>46</v>
      </c>
      <c r="E127" s="2">
        <v>600</v>
      </c>
      <c r="F127" s="22">
        <v>45723</v>
      </c>
      <c r="G127" t="s">
        <v>115</v>
      </c>
      <c r="H127" s="2">
        <v>100</v>
      </c>
      <c r="I127" s="2">
        <v>100</v>
      </c>
    </row>
    <row r="128" spans="2:14" hidden="1">
      <c r="B128" s="22">
        <v>45698</v>
      </c>
      <c r="C128" t="s">
        <v>27</v>
      </c>
      <c r="D128" t="s">
        <v>46</v>
      </c>
      <c r="E128" s="2">
        <v>600</v>
      </c>
      <c r="F128" s="22">
        <v>45723</v>
      </c>
      <c r="G128" t="s">
        <v>115</v>
      </c>
      <c r="H128" s="2">
        <v>500</v>
      </c>
      <c r="I128" s="2">
        <v>375</v>
      </c>
      <c r="J128" s="22">
        <v>45776</v>
      </c>
      <c r="K128">
        <v>97629136</v>
      </c>
      <c r="L128" s="2">
        <f>H128-I128</f>
        <v>125</v>
      </c>
      <c r="N128" t="s">
        <v>76</v>
      </c>
    </row>
    <row r="129" spans="2:15" hidden="1">
      <c r="B129" s="22">
        <v>45698</v>
      </c>
      <c r="C129" t="s">
        <v>41</v>
      </c>
      <c r="D129" t="s">
        <v>46</v>
      </c>
      <c r="E129" s="2">
        <v>600</v>
      </c>
      <c r="F129" s="22">
        <v>45723</v>
      </c>
      <c r="G129" t="s">
        <v>115</v>
      </c>
      <c r="H129" s="2">
        <v>500</v>
      </c>
      <c r="I129" s="2">
        <v>375</v>
      </c>
      <c r="J129" s="23">
        <v>45776</v>
      </c>
      <c r="K129" s="16">
        <v>97629612</v>
      </c>
      <c r="L129" s="14">
        <f>H129-I129</f>
        <v>125</v>
      </c>
      <c r="M129" s="14"/>
      <c r="N129" s="16" t="s">
        <v>116</v>
      </c>
      <c r="O129" s="16" t="s">
        <v>117</v>
      </c>
    </row>
    <row r="130" spans="2:15" hidden="1">
      <c r="B130" s="22">
        <v>45700</v>
      </c>
      <c r="C130" t="s">
        <v>33</v>
      </c>
      <c r="D130" t="s">
        <v>89</v>
      </c>
      <c r="E130" s="2">
        <v>150</v>
      </c>
      <c r="F130" s="22">
        <v>45701</v>
      </c>
      <c r="G130" t="s">
        <v>76</v>
      </c>
      <c r="H130" s="2">
        <v>150</v>
      </c>
      <c r="I130" s="2">
        <v>150</v>
      </c>
    </row>
    <row r="131" spans="2:15">
      <c r="B131" s="22">
        <v>45709</v>
      </c>
      <c r="C131" t="s">
        <v>27</v>
      </c>
      <c r="D131" t="s">
        <v>107</v>
      </c>
      <c r="E131" s="2">
        <v>180</v>
      </c>
      <c r="F131" s="22">
        <v>45901</v>
      </c>
      <c r="G131" t="s">
        <v>76</v>
      </c>
      <c r="H131" s="2">
        <v>180</v>
      </c>
      <c r="I131" s="2">
        <v>180</v>
      </c>
      <c r="O131" s="16"/>
    </row>
    <row r="132" spans="2:15" hidden="1">
      <c r="B132" s="22">
        <v>45714</v>
      </c>
      <c r="C132" t="s">
        <v>50</v>
      </c>
      <c r="D132" t="s">
        <v>72</v>
      </c>
      <c r="E132" s="2">
        <v>180</v>
      </c>
      <c r="F132" s="22">
        <v>45721</v>
      </c>
      <c r="G132" s="41" t="s">
        <v>118</v>
      </c>
      <c r="H132" s="2">
        <f>L132-M132</f>
        <v>145</v>
      </c>
      <c r="J132" s="22">
        <v>45721</v>
      </c>
      <c r="K132" t="s">
        <v>76</v>
      </c>
      <c r="L132" s="2">
        <v>180</v>
      </c>
      <c r="M132" s="2">
        <v>35</v>
      </c>
      <c r="N132">
        <v>95286588</v>
      </c>
      <c r="O132" s="16" t="s">
        <v>91</v>
      </c>
    </row>
    <row r="133" spans="2:15">
      <c r="B133" s="22">
        <v>45720</v>
      </c>
      <c r="C133" t="s">
        <v>27</v>
      </c>
      <c r="D133" t="s">
        <v>107</v>
      </c>
      <c r="E133" s="2">
        <v>180</v>
      </c>
      <c r="F133" s="22">
        <v>45901</v>
      </c>
      <c r="G133" t="s">
        <v>76</v>
      </c>
      <c r="H133" s="2">
        <v>180</v>
      </c>
      <c r="I133" s="2">
        <v>180</v>
      </c>
    </row>
    <row r="134" spans="2:15" hidden="1">
      <c r="B134" s="22">
        <v>45721</v>
      </c>
      <c r="C134" t="s">
        <v>33</v>
      </c>
      <c r="D134" t="s">
        <v>89</v>
      </c>
      <c r="E134" s="2">
        <v>150</v>
      </c>
      <c r="F134" s="22">
        <v>45727</v>
      </c>
      <c r="G134" t="s">
        <v>76</v>
      </c>
      <c r="H134" s="2">
        <v>150</v>
      </c>
      <c r="I134" s="2">
        <v>150</v>
      </c>
    </row>
    <row r="135" spans="2:15" hidden="1">
      <c r="B135" s="22">
        <v>45721</v>
      </c>
      <c r="C135" t="s">
        <v>50</v>
      </c>
      <c r="D135" t="s">
        <v>72</v>
      </c>
      <c r="E135" s="2">
        <v>120</v>
      </c>
      <c r="F135" s="22">
        <v>45721</v>
      </c>
      <c r="G135" s="41" t="s">
        <v>118</v>
      </c>
      <c r="H135" s="2">
        <f>L135-M135</f>
        <v>85</v>
      </c>
      <c r="J135" s="22">
        <v>45721</v>
      </c>
      <c r="K135" t="s">
        <v>76</v>
      </c>
      <c r="L135" s="2">
        <v>120</v>
      </c>
      <c r="M135" s="2">
        <v>35</v>
      </c>
      <c r="N135">
        <v>95286588</v>
      </c>
      <c r="O135" s="16" t="s">
        <v>91</v>
      </c>
    </row>
    <row r="136" spans="2:15" hidden="1">
      <c r="B136" s="22">
        <v>45735</v>
      </c>
      <c r="C136" t="s">
        <v>50</v>
      </c>
      <c r="D136" t="s">
        <v>72</v>
      </c>
      <c r="E136" s="2">
        <v>120</v>
      </c>
      <c r="F136" s="23" t="s">
        <v>119</v>
      </c>
      <c r="G136" s="16"/>
      <c r="J136" s="23">
        <v>45776</v>
      </c>
      <c r="K136" s="16" t="s">
        <v>120</v>
      </c>
      <c r="L136" s="14">
        <v>120</v>
      </c>
      <c r="M136" s="14"/>
      <c r="N136" s="16">
        <v>97627936</v>
      </c>
      <c r="O136" s="16" t="s">
        <v>121</v>
      </c>
    </row>
    <row r="137" spans="2:15">
      <c r="B137" s="22">
        <v>45740</v>
      </c>
      <c r="C137" t="s">
        <v>27</v>
      </c>
      <c r="D137" t="s">
        <v>72</v>
      </c>
    </row>
    <row r="138" spans="2:15">
      <c r="B138" s="22">
        <v>45740</v>
      </c>
      <c r="C138" t="s">
        <v>41</v>
      </c>
      <c r="D138" t="s">
        <v>72</v>
      </c>
      <c r="E138" s="2">
        <v>90</v>
      </c>
      <c r="F138" s="22">
        <v>45740</v>
      </c>
      <c r="G138" t="s">
        <v>122</v>
      </c>
      <c r="H138" s="2">
        <v>90</v>
      </c>
      <c r="I138" s="2">
        <v>90</v>
      </c>
    </row>
    <row r="139" spans="2:15">
      <c r="B139" s="22">
        <v>45741</v>
      </c>
      <c r="C139" t="s">
        <v>41</v>
      </c>
      <c r="D139" t="s">
        <v>107</v>
      </c>
      <c r="E139" s="2">
        <v>180</v>
      </c>
      <c r="F139" s="22">
        <v>45776</v>
      </c>
      <c r="G139" t="s">
        <v>105</v>
      </c>
      <c r="H139" s="2">
        <v>180</v>
      </c>
      <c r="I139" s="2">
        <v>180</v>
      </c>
    </row>
    <row r="140" spans="2:15">
      <c r="B140" s="22">
        <v>45742</v>
      </c>
      <c r="C140" t="s">
        <v>27</v>
      </c>
      <c r="D140" t="s">
        <v>107</v>
      </c>
      <c r="E140" s="2">
        <v>180</v>
      </c>
      <c r="F140" s="22">
        <v>45901</v>
      </c>
      <c r="G140" t="s">
        <v>76</v>
      </c>
      <c r="H140" s="2">
        <v>180</v>
      </c>
      <c r="I140" s="2">
        <v>180</v>
      </c>
    </row>
    <row r="141" spans="2:15" hidden="1">
      <c r="B141" s="22">
        <v>45742</v>
      </c>
      <c r="C141" t="s">
        <v>33</v>
      </c>
      <c r="D141" t="s">
        <v>89</v>
      </c>
      <c r="E141" s="2">
        <v>150</v>
      </c>
      <c r="F141" s="22">
        <v>45776</v>
      </c>
      <c r="G141" t="s">
        <v>123</v>
      </c>
      <c r="H141" s="2">
        <v>150</v>
      </c>
    </row>
    <row r="142" spans="2:15">
      <c r="B142" s="22">
        <v>45748</v>
      </c>
      <c r="C142" t="s">
        <v>41</v>
      </c>
      <c r="D142" t="s">
        <v>107</v>
      </c>
      <c r="E142" s="2">
        <v>180</v>
      </c>
      <c r="F142" s="22">
        <v>45776</v>
      </c>
      <c r="G142" t="s">
        <v>105</v>
      </c>
      <c r="H142" s="2">
        <v>180</v>
      </c>
      <c r="I142" s="2">
        <v>180</v>
      </c>
    </row>
    <row r="143" spans="2:15">
      <c r="B143" s="22">
        <v>45755</v>
      </c>
      <c r="C143" t="s">
        <v>41</v>
      </c>
      <c r="D143" t="s">
        <v>107</v>
      </c>
      <c r="E143" s="2">
        <v>180</v>
      </c>
      <c r="F143" s="22">
        <v>45901</v>
      </c>
      <c r="G143" t="s">
        <v>76</v>
      </c>
      <c r="H143" s="2">
        <v>180</v>
      </c>
      <c r="I143" s="2">
        <v>180</v>
      </c>
    </row>
    <row r="144" spans="2:15" hidden="1">
      <c r="B144" s="22">
        <v>45756</v>
      </c>
      <c r="C144" t="s">
        <v>27</v>
      </c>
      <c r="D144" t="s">
        <v>107</v>
      </c>
      <c r="E144" s="2">
        <v>180</v>
      </c>
      <c r="F144" s="22">
        <v>45901</v>
      </c>
      <c r="G144" t="s">
        <v>113</v>
      </c>
      <c r="H144" s="2">
        <v>180</v>
      </c>
      <c r="I144" s="2">
        <v>0</v>
      </c>
      <c r="J144" s="22">
        <v>45911</v>
      </c>
      <c r="K144">
        <v>102952042</v>
      </c>
      <c r="L144" s="2">
        <v>180</v>
      </c>
      <c r="N144" t="s">
        <v>124</v>
      </c>
    </row>
    <row r="145" spans="1:15">
      <c r="B145" s="22">
        <v>45762</v>
      </c>
      <c r="C145" t="s">
        <v>41</v>
      </c>
      <c r="D145" t="s">
        <v>107</v>
      </c>
      <c r="E145" s="2">
        <v>180</v>
      </c>
      <c r="F145" s="22">
        <v>45901</v>
      </c>
      <c r="G145" t="s">
        <v>76</v>
      </c>
      <c r="H145" s="2">
        <v>180</v>
      </c>
      <c r="I145" s="2">
        <v>180</v>
      </c>
    </row>
    <row r="146" spans="1:15" hidden="1">
      <c r="B146" s="22">
        <v>45763</v>
      </c>
      <c r="C146" t="s">
        <v>33</v>
      </c>
      <c r="D146" t="s">
        <v>89</v>
      </c>
      <c r="E146" s="2">
        <v>150</v>
      </c>
      <c r="F146" s="22">
        <v>45776</v>
      </c>
      <c r="G146" t="s">
        <v>76</v>
      </c>
      <c r="H146" s="2">
        <v>150</v>
      </c>
      <c r="I146" s="2">
        <v>150</v>
      </c>
    </row>
    <row r="147" spans="1:15" hidden="1">
      <c r="B147" s="22">
        <v>45769</v>
      </c>
      <c r="C147" t="s">
        <v>27</v>
      </c>
      <c r="D147" t="s">
        <v>107</v>
      </c>
      <c r="E147" s="2">
        <v>180</v>
      </c>
      <c r="F147" s="22">
        <v>45901</v>
      </c>
      <c r="G147" t="s">
        <v>76</v>
      </c>
      <c r="H147" s="2">
        <v>180</v>
      </c>
      <c r="I147" s="2">
        <v>60</v>
      </c>
      <c r="J147" s="22">
        <v>45911</v>
      </c>
      <c r="K147">
        <v>102952042</v>
      </c>
      <c r="L147" s="2">
        <f>Table2[[#This Row],[Amount Claimed]]-Table2[[#This Row],[Amount Paid]]</f>
        <v>120</v>
      </c>
      <c r="N147" t="s">
        <v>124</v>
      </c>
    </row>
    <row r="148" spans="1:15" hidden="1">
      <c r="B148" s="22">
        <v>45769</v>
      </c>
      <c r="C148" t="s">
        <v>41</v>
      </c>
      <c r="D148" t="s">
        <v>107</v>
      </c>
      <c r="E148" s="2">
        <v>180</v>
      </c>
      <c r="F148" s="22">
        <v>45901</v>
      </c>
      <c r="G148" t="s">
        <v>125</v>
      </c>
      <c r="H148" s="2">
        <v>180</v>
      </c>
      <c r="I148" s="2">
        <v>60</v>
      </c>
      <c r="J148" s="22">
        <v>45911</v>
      </c>
      <c r="K148">
        <v>102952438</v>
      </c>
      <c r="L148" s="2">
        <f>Table2[[#This Row],[Amount Claimed]]-Table2[[#This Row],[Amount Paid]]</f>
        <v>120</v>
      </c>
      <c r="M148" s="2">
        <v>120</v>
      </c>
      <c r="N148" t="s">
        <v>76</v>
      </c>
    </row>
    <row r="149" spans="1:15" hidden="1">
      <c r="B149" s="22">
        <v>45771</v>
      </c>
      <c r="C149" t="s">
        <v>50</v>
      </c>
      <c r="D149" t="s">
        <v>72</v>
      </c>
      <c r="E149" s="2">
        <v>125</v>
      </c>
      <c r="F149" s="23" t="s">
        <v>119</v>
      </c>
      <c r="J149" s="23">
        <v>45776</v>
      </c>
      <c r="K149" s="16" t="s">
        <v>120</v>
      </c>
      <c r="L149" s="14">
        <v>125</v>
      </c>
      <c r="M149" s="14"/>
      <c r="N149" s="16">
        <v>97628487</v>
      </c>
      <c r="O149" s="16" t="s">
        <v>121</v>
      </c>
    </row>
    <row r="150" spans="1:15">
      <c r="B150" s="22">
        <v>45776</v>
      </c>
      <c r="C150" t="s">
        <v>41</v>
      </c>
      <c r="D150" t="s">
        <v>107</v>
      </c>
      <c r="E150" s="2">
        <v>180</v>
      </c>
      <c r="F150" s="22">
        <v>45901</v>
      </c>
      <c r="G150" t="s">
        <v>76</v>
      </c>
      <c r="H150" s="2">
        <v>180</v>
      </c>
      <c r="I150" s="2">
        <v>180</v>
      </c>
    </row>
    <row r="151" spans="1:15">
      <c r="B151" s="22">
        <v>45783</v>
      </c>
      <c r="C151" t="s">
        <v>41</v>
      </c>
      <c r="D151" t="s">
        <v>107</v>
      </c>
      <c r="E151" s="2">
        <v>180</v>
      </c>
      <c r="F151" s="22">
        <v>45901</v>
      </c>
      <c r="G151" t="s">
        <v>76</v>
      </c>
      <c r="H151" s="2">
        <v>180</v>
      </c>
      <c r="I151" s="2">
        <v>180</v>
      </c>
    </row>
    <row r="152" spans="1:15">
      <c r="B152" s="22">
        <v>45783</v>
      </c>
      <c r="C152" t="s">
        <v>27</v>
      </c>
      <c r="D152" t="s">
        <v>107</v>
      </c>
      <c r="E152" s="2">
        <v>180</v>
      </c>
      <c r="F152" s="22">
        <v>45901</v>
      </c>
      <c r="G152" t="s">
        <v>76</v>
      </c>
      <c r="H152" s="2">
        <v>180</v>
      </c>
      <c r="I152" s="2">
        <v>180</v>
      </c>
    </row>
    <row r="153" spans="1:15" hidden="1">
      <c r="B153" s="22">
        <v>45789</v>
      </c>
      <c r="C153" s="45" t="s">
        <v>33</v>
      </c>
      <c r="D153" t="s">
        <v>34</v>
      </c>
      <c r="E153" s="2">
        <v>273</v>
      </c>
      <c r="F153" s="22">
        <v>45789</v>
      </c>
      <c r="G153" t="s">
        <v>76</v>
      </c>
      <c r="H153" s="2">
        <v>273</v>
      </c>
      <c r="I153" s="2">
        <v>218.4</v>
      </c>
      <c r="J153" s="22">
        <v>45911</v>
      </c>
      <c r="K153" t="s">
        <v>126</v>
      </c>
      <c r="L153" s="2">
        <f>Table2[[#This Row],[Amount Claimed]]-Table2[[#This Row],[Amount Paid]]</f>
        <v>54.599999999999994</v>
      </c>
      <c r="M153" s="2">
        <v>45.8</v>
      </c>
      <c r="N153" t="s">
        <v>82</v>
      </c>
      <c r="O153" t="s">
        <v>76</v>
      </c>
    </row>
    <row r="154" spans="1:15" hidden="1">
      <c r="B154" s="22">
        <v>45790</v>
      </c>
      <c r="C154" t="s">
        <v>41</v>
      </c>
      <c r="D154" t="s">
        <v>107</v>
      </c>
      <c r="E154" s="2">
        <v>180</v>
      </c>
      <c r="G154" t="s">
        <v>127</v>
      </c>
      <c r="J154" s="22">
        <v>45911</v>
      </c>
      <c r="K154">
        <v>102952438</v>
      </c>
      <c r="L154" s="2">
        <v>180</v>
      </c>
      <c r="M154" s="2">
        <v>180</v>
      </c>
      <c r="N154" t="s">
        <v>76</v>
      </c>
    </row>
    <row r="155" spans="1:15">
      <c r="B155" s="22">
        <v>45797</v>
      </c>
      <c r="C155" t="s">
        <v>27</v>
      </c>
      <c r="D155" t="s">
        <v>107</v>
      </c>
      <c r="E155" s="2">
        <v>180</v>
      </c>
      <c r="F155" s="22">
        <v>45901</v>
      </c>
      <c r="G155" t="s">
        <v>76</v>
      </c>
      <c r="H155" s="2">
        <v>180</v>
      </c>
      <c r="I155" s="2">
        <v>180</v>
      </c>
    </row>
    <row r="156" spans="1:15" hidden="1">
      <c r="B156" s="22">
        <v>45798</v>
      </c>
      <c r="C156" t="s">
        <v>41</v>
      </c>
      <c r="D156" t="s">
        <v>107</v>
      </c>
      <c r="E156" s="2">
        <v>180</v>
      </c>
      <c r="G156" t="s">
        <v>127</v>
      </c>
      <c r="J156" s="22">
        <v>45911</v>
      </c>
      <c r="K156">
        <v>102952438</v>
      </c>
      <c r="L156" s="2">
        <v>180</v>
      </c>
      <c r="M156" s="2">
        <v>180</v>
      </c>
      <c r="N156" t="s">
        <v>76</v>
      </c>
    </row>
    <row r="157" spans="1:15">
      <c r="A157" t="s">
        <v>128</v>
      </c>
      <c r="B157" s="22">
        <v>45811</v>
      </c>
      <c r="C157" t="s">
        <v>27</v>
      </c>
      <c r="D157" t="s">
        <v>107</v>
      </c>
      <c r="E157" s="2">
        <v>180</v>
      </c>
      <c r="F157" s="22">
        <v>45901</v>
      </c>
      <c r="G157" t="s">
        <v>76</v>
      </c>
      <c r="H157" s="2">
        <v>180</v>
      </c>
      <c r="I157" s="2">
        <v>180</v>
      </c>
    </row>
    <row r="158" spans="1:15">
      <c r="B158" s="22">
        <v>45811</v>
      </c>
      <c r="C158" t="s">
        <v>41</v>
      </c>
      <c r="D158" t="s">
        <v>107</v>
      </c>
      <c r="E158" s="2">
        <v>180</v>
      </c>
      <c r="G158" t="s">
        <v>127</v>
      </c>
      <c r="J158" s="22">
        <v>46039</v>
      </c>
      <c r="K158">
        <v>108651314</v>
      </c>
      <c r="L158" s="2">
        <v>180</v>
      </c>
      <c r="M158" s="2">
        <v>180</v>
      </c>
      <c r="N158" t="s">
        <v>76</v>
      </c>
    </row>
    <row r="159" spans="1:15">
      <c r="B159" s="22">
        <v>45818</v>
      </c>
      <c r="C159" t="s">
        <v>41</v>
      </c>
      <c r="D159" t="s">
        <v>107</v>
      </c>
      <c r="E159" s="2">
        <v>180</v>
      </c>
      <c r="G159" t="s">
        <v>127</v>
      </c>
      <c r="J159" s="22">
        <v>46039</v>
      </c>
      <c r="K159">
        <v>108651314</v>
      </c>
      <c r="L159" s="2">
        <v>180</v>
      </c>
      <c r="M159" s="2">
        <v>180</v>
      </c>
      <c r="N159" t="s">
        <v>76</v>
      </c>
    </row>
    <row r="160" spans="1:15">
      <c r="B160" s="22">
        <v>45825</v>
      </c>
      <c r="C160" t="s">
        <v>27</v>
      </c>
      <c r="D160" t="s">
        <v>107</v>
      </c>
      <c r="E160" s="2">
        <v>180</v>
      </c>
      <c r="F160" s="22">
        <v>45901</v>
      </c>
      <c r="G160" t="s">
        <v>76</v>
      </c>
      <c r="H160" s="2">
        <v>180</v>
      </c>
      <c r="I160" s="2">
        <v>180</v>
      </c>
    </row>
    <row r="161" spans="2:15">
      <c r="B161" s="22">
        <v>45832</v>
      </c>
      <c r="C161" t="s">
        <v>41</v>
      </c>
      <c r="D161" t="s">
        <v>107</v>
      </c>
      <c r="E161" s="2">
        <v>180</v>
      </c>
      <c r="G161" t="s">
        <v>127</v>
      </c>
      <c r="J161" s="22">
        <v>46039</v>
      </c>
      <c r="K161">
        <v>108651314</v>
      </c>
      <c r="L161" s="2">
        <v>180</v>
      </c>
      <c r="M161" s="2">
        <v>180</v>
      </c>
      <c r="N161" t="s">
        <v>76</v>
      </c>
    </row>
    <row r="162" spans="2:15" hidden="1">
      <c r="B162" s="22">
        <v>45840</v>
      </c>
      <c r="C162" t="s">
        <v>27</v>
      </c>
      <c r="D162" t="s">
        <v>107</v>
      </c>
      <c r="E162" s="2">
        <v>180</v>
      </c>
      <c r="G162" t="s">
        <v>127</v>
      </c>
      <c r="J162" s="22">
        <v>45911</v>
      </c>
      <c r="K162">
        <v>102952042</v>
      </c>
      <c r="L162" s="2">
        <v>180</v>
      </c>
      <c r="N162" t="s">
        <v>124</v>
      </c>
    </row>
    <row r="163" spans="2:15">
      <c r="B163" s="22">
        <v>45861</v>
      </c>
      <c r="C163" t="s">
        <v>41</v>
      </c>
      <c r="D163" t="s">
        <v>107</v>
      </c>
      <c r="E163" s="2">
        <v>180</v>
      </c>
      <c r="G163" t="s">
        <v>127</v>
      </c>
      <c r="J163" s="22">
        <v>46039</v>
      </c>
      <c r="K163">
        <v>108651314</v>
      </c>
      <c r="L163" s="2">
        <v>180</v>
      </c>
      <c r="M163" s="2">
        <v>180</v>
      </c>
      <c r="N163" t="s">
        <v>76</v>
      </c>
    </row>
    <row r="164" spans="2:15" hidden="1">
      <c r="B164" s="22">
        <v>45862</v>
      </c>
      <c r="C164" t="s">
        <v>27</v>
      </c>
      <c r="D164" t="s">
        <v>107</v>
      </c>
      <c r="E164" s="2">
        <v>180</v>
      </c>
      <c r="G164" t="s">
        <v>127</v>
      </c>
      <c r="J164" s="22">
        <v>45911</v>
      </c>
      <c r="K164">
        <v>102952042</v>
      </c>
      <c r="L164" s="2">
        <v>180</v>
      </c>
      <c r="N164" t="s">
        <v>124</v>
      </c>
    </row>
    <row r="165" spans="2:15" hidden="1">
      <c r="B165" s="22">
        <v>45909</v>
      </c>
      <c r="C165" t="s">
        <v>27</v>
      </c>
      <c r="D165" t="s">
        <v>107</v>
      </c>
      <c r="E165" s="2">
        <v>180</v>
      </c>
      <c r="G165" t="s">
        <v>127</v>
      </c>
      <c r="J165" s="22">
        <v>45911</v>
      </c>
      <c r="K165">
        <v>102952042</v>
      </c>
      <c r="L165" s="2">
        <v>180</v>
      </c>
      <c r="N165" t="s">
        <v>124</v>
      </c>
    </row>
    <row r="166" spans="2:15">
      <c r="B166" s="22">
        <v>45909</v>
      </c>
      <c r="C166" t="s">
        <v>41</v>
      </c>
      <c r="D166" t="s">
        <v>107</v>
      </c>
      <c r="E166" s="2">
        <v>180</v>
      </c>
      <c r="G166" t="s">
        <v>127</v>
      </c>
      <c r="J166" s="22">
        <v>46039</v>
      </c>
      <c r="K166">
        <v>108651314</v>
      </c>
      <c r="L166" s="2">
        <v>180</v>
      </c>
      <c r="M166" s="2">
        <v>180</v>
      </c>
      <c r="N166" t="s">
        <v>76</v>
      </c>
    </row>
    <row r="167" spans="2:15" hidden="1">
      <c r="B167" s="22">
        <v>45909</v>
      </c>
      <c r="C167" t="s">
        <v>33</v>
      </c>
      <c r="D167" t="s">
        <v>28</v>
      </c>
      <c r="E167" s="2">
        <v>29.36</v>
      </c>
      <c r="F167" s="22">
        <v>45909</v>
      </c>
      <c r="G167" t="s">
        <v>76</v>
      </c>
      <c r="H167" s="2">
        <v>29.36</v>
      </c>
      <c r="I167" s="2">
        <v>16.37</v>
      </c>
      <c r="J167" s="23">
        <v>45911</v>
      </c>
      <c r="K167" s="16">
        <v>102965718</v>
      </c>
      <c r="L167" s="14">
        <f>Table2[[#This Row],[Amount Claimed]]-Table2[[#This Row],[Amount Paid]]</f>
        <v>12.989999999999998</v>
      </c>
      <c r="M167" s="14"/>
      <c r="N167" s="16" t="s">
        <v>129</v>
      </c>
      <c r="O167" s="16"/>
    </row>
    <row r="168" spans="2:15">
      <c r="B168" s="22">
        <v>45925</v>
      </c>
      <c r="C168" t="s">
        <v>27</v>
      </c>
      <c r="D168" t="s">
        <v>107</v>
      </c>
      <c r="E168" s="2">
        <v>180</v>
      </c>
      <c r="G168" s="41" t="s">
        <v>127</v>
      </c>
      <c r="J168" s="22">
        <v>46039</v>
      </c>
      <c r="K168">
        <v>108652566</v>
      </c>
      <c r="L168" s="2">
        <v>180</v>
      </c>
      <c r="M168" s="2">
        <v>180</v>
      </c>
      <c r="N168" t="s">
        <v>76</v>
      </c>
    </row>
    <row r="169" spans="2:15">
      <c r="B169" s="22">
        <v>45930</v>
      </c>
      <c r="C169" t="s">
        <v>41</v>
      </c>
      <c r="D169" t="s">
        <v>107</v>
      </c>
      <c r="E169" s="2">
        <v>180</v>
      </c>
      <c r="G169" t="s">
        <v>127</v>
      </c>
      <c r="J169" s="22">
        <v>46039</v>
      </c>
      <c r="K169">
        <v>108651314</v>
      </c>
      <c r="L169" s="2">
        <v>180</v>
      </c>
      <c r="M169" s="2">
        <v>180</v>
      </c>
      <c r="N169" t="s">
        <v>76</v>
      </c>
    </row>
    <row r="170" spans="2:15">
      <c r="B170" s="22">
        <v>45937</v>
      </c>
      <c r="C170" t="s">
        <v>27</v>
      </c>
      <c r="D170" t="s">
        <v>107</v>
      </c>
      <c r="E170" s="2">
        <v>180</v>
      </c>
      <c r="G170" s="41" t="s">
        <v>127</v>
      </c>
      <c r="J170" s="22">
        <v>46039</v>
      </c>
      <c r="K170">
        <v>108652566</v>
      </c>
      <c r="L170" s="2">
        <v>180</v>
      </c>
      <c r="M170" s="2">
        <v>180</v>
      </c>
      <c r="N170" t="s">
        <v>76</v>
      </c>
    </row>
    <row r="171" spans="2:15">
      <c r="B171" s="22">
        <v>45944</v>
      </c>
      <c r="C171" t="s">
        <v>41</v>
      </c>
      <c r="D171" t="s">
        <v>107</v>
      </c>
      <c r="E171" s="2">
        <v>180</v>
      </c>
      <c r="G171" t="s">
        <v>127</v>
      </c>
      <c r="J171" s="22">
        <v>46039</v>
      </c>
      <c r="K171">
        <v>108651314</v>
      </c>
      <c r="L171" s="2">
        <v>180</v>
      </c>
      <c r="M171" s="2">
        <v>180</v>
      </c>
      <c r="N171" t="s">
        <v>76</v>
      </c>
    </row>
    <row r="172" spans="2:15">
      <c r="B172" s="22">
        <v>45951</v>
      </c>
      <c r="C172" t="s">
        <v>27</v>
      </c>
      <c r="D172" t="s">
        <v>107</v>
      </c>
      <c r="E172" s="2">
        <v>180</v>
      </c>
      <c r="G172" s="41" t="s">
        <v>127</v>
      </c>
      <c r="J172" s="22">
        <v>46039</v>
      </c>
      <c r="K172">
        <v>108652566</v>
      </c>
      <c r="L172" s="2">
        <v>180</v>
      </c>
      <c r="M172" s="2">
        <v>180</v>
      </c>
      <c r="N172" t="s">
        <v>76</v>
      </c>
    </row>
    <row r="173" spans="2:15">
      <c r="B173" s="22">
        <v>45958</v>
      </c>
      <c r="C173" t="s">
        <v>41</v>
      </c>
      <c r="D173" t="s">
        <v>107</v>
      </c>
      <c r="E173" s="2">
        <v>180</v>
      </c>
      <c r="G173" s="41" t="s">
        <v>127</v>
      </c>
      <c r="J173" s="23" t="s">
        <v>130</v>
      </c>
    </row>
    <row r="174" spans="2:15">
      <c r="B174" s="22">
        <v>45965</v>
      </c>
      <c r="C174" t="s">
        <v>27</v>
      </c>
      <c r="D174" t="s">
        <v>107</v>
      </c>
      <c r="E174" s="2">
        <v>180</v>
      </c>
      <c r="G174" s="41" t="s">
        <v>127</v>
      </c>
      <c r="J174" s="22">
        <v>46039</v>
      </c>
      <c r="K174">
        <v>108652566</v>
      </c>
      <c r="L174" s="2">
        <v>180</v>
      </c>
      <c r="M174" s="2">
        <v>140</v>
      </c>
      <c r="N174" t="s">
        <v>76</v>
      </c>
    </row>
    <row r="175" spans="2:15">
      <c r="B175" s="22">
        <v>45972</v>
      </c>
      <c r="C175" t="s">
        <v>41</v>
      </c>
      <c r="D175" t="s">
        <v>107</v>
      </c>
      <c r="E175" s="2">
        <v>180</v>
      </c>
      <c r="G175" s="41" t="s">
        <v>127</v>
      </c>
      <c r="J175" s="23" t="s">
        <v>130</v>
      </c>
    </row>
    <row r="176" spans="2:15">
      <c r="B176" s="22">
        <v>45979</v>
      </c>
      <c r="C176" t="s">
        <v>27</v>
      </c>
      <c r="D176" t="s">
        <v>107</v>
      </c>
      <c r="E176" s="2">
        <v>180</v>
      </c>
      <c r="G176" s="41" t="s">
        <v>127</v>
      </c>
      <c r="J176" s="22">
        <v>46039</v>
      </c>
      <c r="K176">
        <v>108652566</v>
      </c>
      <c r="L176" s="2">
        <v>180</v>
      </c>
      <c r="M176" s="2">
        <v>180</v>
      </c>
      <c r="N176" t="s">
        <v>76</v>
      </c>
    </row>
    <row r="177" spans="2:15">
      <c r="B177" s="22">
        <v>45986</v>
      </c>
      <c r="C177" t="s">
        <v>41</v>
      </c>
      <c r="D177" t="s">
        <v>107</v>
      </c>
      <c r="E177" s="2">
        <v>180</v>
      </c>
      <c r="G177" s="41" t="s">
        <v>127</v>
      </c>
      <c r="J177" s="23" t="s">
        <v>130</v>
      </c>
    </row>
    <row r="178" spans="2:15">
      <c r="B178" s="22">
        <v>45993</v>
      </c>
      <c r="C178" t="s">
        <v>27</v>
      </c>
      <c r="D178" t="s">
        <v>107</v>
      </c>
      <c r="E178" s="2">
        <v>180</v>
      </c>
      <c r="G178" s="41" t="s">
        <v>127</v>
      </c>
      <c r="J178" s="22">
        <v>46039</v>
      </c>
      <c r="K178">
        <v>108652566</v>
      </c>
      <c r="L178" s="2">
        <v>180</v>
      </c>
      <c r="M178" s="2">
        <v>180</v>
      </c>
      <c r="N178" t="s">
        <v>76</v>
      </c>
    </row>
    <row r="179" spans="2:15">
      <c r="B179" s="22">
        <v>46007</v>
      </c>
      <c r="C179" t="s">
        <v>27</v>
      </c>
      <c r="D179" t="s">
        <v>107</v>
      </c>
      <c r="E179" s="2">
        <v>180</v>
      </c>
      <c r="G179" s="41" t="s">
        <v>127</v>
      </c>
      <c r="J179" s="22">
        <v>46039</v>
      </c>
      <c r="K179">
        <v>108652566</v>
      </c>
      <c r="L179" s="2">
        <v>180</v>
      </c>
      <c r="M179" s="2">
        <v>179.81</v>
      </c>
      <c r="N179" t="s">
        <v>76</v>
      </c>
    </row>
    <row r="180" spans="2:15" hidden="1">
      <c r="B180" s="22">
        <v>46030</v>
      </c>
      <c r="C180" t="s">
        <v>27</v>
      </c>
      <c r="D180" t="s">
        <v>107</v>
      </c>
      <c r="E180" s="2">
        <v>180</v>
      </c>
      <c r="F180" s="23">
        <v>46039</v>
      </c>
      <c r="G180" s="16" t="s">
        <v>105</v>
      </c>
      <c r="H180" s="14">
        <v>180</v>
      </c>
      <c r="I180" s="14">
        <v>155</v>
      </c>
    </row>
    <row r="181" spans="2:15" hidden="1">
      <c r="B181" s="22">
        <v>45980</v>
      </c>
      <c r="C181" t="s">
        <v>33</v>
      </c>
      <c r="D181" t="s">
        <v>34</v>
      </c>
      <c r="E181" s="2">
        <v>200</v>
      </c>
      <c r="F181" s="22">
        <v>45980</v>
      </c>
      <c r="G181" t="s">
        <v>76</v>
      </c>
      <c r="H181" s="2">
        <v>200</v>
      </c>
      <c r="I181" s="2">
        <v>160</v>
      </c>
      <c r="J181" s="23">
        <v>46039</v>
      </c>
      <c r="K181" s="16" t="s">
        <v>131</v>
      </c>
      <c r="L181" s="14">
        <f>Table2[[#This Row],[Amount Claimed]]-Table2[[#This Row],[Amount Paid]]</f>
        <v>40</v>
      </c>
      <c r="M181" s="14"/>
      <c r="N181" s="16" t="s">
        <v>82</v>
      </c>
      <c r="O181" s="16" t="s">
        <v>56</v>
      </c>
    </row>
    <row r="182" spans="2:15" hidden="1">
      <c r="B182" s="22">
        <v>46042</v>
      </c>
      <c r="C182" t="s">
        <v>27</v>
      </c>
      <c r="D182" t="s">
        <v>107</v>
      </c>
      <c r="E182" s="2">
        <v>180</v>
      </c>
      <c r="F182" s="23"/>
      <c r="G182" s="16" t="s">
        <v>132</v>
      </c>
      <c r="H182" s="14"/>
      <c r="I182" s="14"/>
    </row>
    <row r="183" spans="2:15" hidden="1"/>
    <row r="184" spans="2:15" hidden="1"/>
    <row r="185" spans="2:15" hidden="1"/>
    <row r="187" spans="2:15">
      <c r="F187" s="44"/>
      <c r="N187" s="38"/>
    </row>
    <row r="189" spans="2:15">
      <c r="H189"/>
      <c r="I189"/>
    </row>
    <row r="190" spans="2:15">
      <c r="H190"/>
      <c r="I190"/>
    </row>
  </sheetData>
  <pageMargins left="0.7" right="0.7" top="0.75" bottom="0.75" header="0.51180555555555496" footer="0.51180555555555496"/>
  <pageSetup firstPageNumber="0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844A9-4830-4BDC-94CB-4B6097BCC1C6}">
  <dimension ref="A1:M18"/>
  <sheetViews>
    <sheetView workbookViewId="0">
      <selection activeCell="G10" sqref="G10"/>
    </sheetView>
  </sheetViews>
  <sheetFormatPr defaultRowHeight="15"/>
  <cols>
    <col min="1" max="1" width="7.85546875" bestFit="1" customWidth="1"/>
    <col min="2" max="3" width="10.28515625" bestFit="1" customWidth="1"/>
    <col min="4" max="5" width="8" bestFit="1" customWidth="1"/>
  </cols>
  <sheetData>
    <row r="1" spans="1:13" ht="30">
      <c r="A1" s="10" t="s">
        <v>133</v>
      </c>
      <c r="B1" s="10" t="s">
        <v>134</v>
      </c>
      <c r="C1" s="11">
        <v>35</v>
      </c>
      <c r="D1" s="11">
        <v>35</v>
      </c>
      <c r="E1" s="11">
        <v>28</v>
      </c>
    </row>
    <row r="2" spans="1:13" ht="30">
      <c r="A2" s="10" t="s">
        <v>135</v>
      </c>
      <c r="B2" s="10" t="s">
        <v>136</v>
      </c>
      <c r="C2" s="11">
        <v>171</v>
      </c>
      <c r="D2" s="11">
        <v>171</v>
      </c>
      <c r="E2" s="11">
        <v>136.80000000000001</v>
      </c>
    </row>
    <row r="3" spans="1:13" ht="30">
      <c r="A3" s="10" t="s">
        <v>137</v>
      </c>
      <c r="B3" s="10" t="s">
        <v>136</v>
      </c>
      <c r="C3" s="11">
        <v>25</v>
      </c>
      <c r="D3" s="11">
        <v>25</v>
      </c>
      <c r="E3" s="11">
        <v>20</v>
      </c>
    </row>
    <row r="4" spans="1:13">
      <c r="A4" s="12"/>
      <c r="B4" s="12" t="s">
        <v>138</v>
      </c>
      <c r="C4" s="13">
        <v>231</v>
      </c>
      <c r="D4" s="13">
        <v>231</v>
      </c>
      <c r="E4" s="13">
        <v>184.8</v>
      </c>
    </row>
    <row r="11" spans="1:13">
      <c r="A11" t="s">
        <v>139</v>
      </c>
    </row>
    <row r="12" spans="1:13">
      <c r="A12" t="s">
        <v>140</v>
      </c>
      <c r="B12" s="17">
        <v>2635</v>
      </c>
      <c r="C12" s="17"/>
    </row>
    <row r="13" spans="1:13">
      <c r="A13" t="s">
        <v>141</v>
      </c>
      <c r="B13" s="17"/>
      <c r="C13" s="17">
        <v>1000</v>
      </c>
      <c r="M13" s="31"/>
    </row>
    <row r="14" spans="1:13">
      <c r="A14" t="s">
        <v>142</v>
      </c>
      <c r="B14" s="17"/>
      <c r="C14" s="17">
        <v>810</v>
      </c>
    </row>
    <row r="15" spans="1:13">
      <c r="A15" t="s">
        <v>143</v>
      </c>
      <c r="B15" s="17"/>
      <c r="C15" s="17">
        <v>255</v>
      </c>
    </row>
    <row r="16" spans="1:13">
      <c r="A16" t="s">
        <v>144</v>
      </c>
      <c r="B16" s="17">
        <v>2065</v>
      </c>
      <c r="C16" s="17"/>
    </row>
    <row r="17" spans="1:2">
      <c r="A17" t="s">
        <v>145</v>
      </c>
      <c r="B17" s="31">
        <f>B16/B12</f>
        <v>0.78368121442125238</v>
      </c>
    </row>
    <row r="18" spans="1:2">
      <c r="A18" t="s">
        <v>146</v>
      </c>
      <c r="B18" s="17">
        <f>B12-B16</f>
        <v>570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D32FA-3ACA-463B-845E-4C33D273119B}">
  <dimension ref="A1:D8"/>
  <sheetViews>
    <sheetView workbookViewId="0">
      <selection activeCell="I9" sqref="I9"/>
    </sheetView>
  </sheetViews>
  <sheetFormatPr defaultRowHeight="15"/>
  <cols>
    <col min="2" max="2" width="43.42578125" style="3" customWidth="1"/>
    <col min="3" max="3" width="9.7109375" customWidth="1"/>
    <col min="4" max="4" width="10.28515625" bestFit="1" customWidth="1"/>
  </cols>
  <sheetData>
    <row r="1" spans="1:4">
      <c r="A1" t="s">
        <v>5</v>
      </c>
      <c r="B1" s="3" t="s">
        <v>147</v>
      </c>
      <c r="C1" t="s">
        <v>148</v>
      </c>
      <c r="D1" t="s">
        <v>149</v>
      </c>
    </row>
    <row r="2" spans="1:4">
      <c r="A2" t="s">
        <v>33</v>
      </c>
      <c r="B2" s="3" t="s">
        <v>150</v>
      </c>
      <c r="C2" s="32">
        <v>1</v>
      </c>
      <c r="D2" s="1">
        <v>45434</v>
      </c>
    </row>
    <row r="3" spans="1:4">
      <c r="A3" t="s">
        <v>33</v>
      </c>
      <c r="B3" s="3" t="s">
        <v>39</v>
      </c>
      <c r="C3" s="33">
        <v>200</v>
      </c>
      <c r="D3" s="1">
        <v>45434</v>
      </c>
    </row>
    <row r="4" spans="1:4">
      <c r="A4" t="s">
        <v>33</v>
      </c>
      <c r="B4" s="3" t="s">
        <v>151</v>
      </c>
      <c r="C4" s="33">
        <v>500</v>
      </c>
      <c r="D4" s="1">
        <v>45434</v>
      </c>
    </row>
    <row r="5" spans="1:4" ht="60">
      <c r="A5" t="s">
        <v>33</v>
      </c>
      <c r="B5" s="3" t="s">
        <v>152</v>
      </c>
      <c r="C5" s="33">
        <v>1500</v>
      </c>
      <c r="D5" s="1">
        <v>45434</v>
      </c>
    </row>
    <row r="6" spans="1:4" ht="30">
      <c r="A6" t="s">
        <v>33</v>
      </c>
      <c r="B6" s="3" t="s">
        <v>153</v>
      </c>
      <c r="C6" s="33">
        <v>500</v>
      </c>
      <c r="D6" s="1">
        <v>45434</v>
      </c>
    </row>
    <row r="7" spans="1:4">
      <c r="A7" t="s">
        <v>33</v>
      </c>
      <c r="B7" s="3" t="s">
        <v>154</v>
      </c>
      <c r="C7" s="33">
        <v>500</v>
      </c>
      <c r="D7" s="1">
        <v>45434</v>
      </c>
    </row>
    <row r="8" spans="1:4">
      <c r="A8" t="s">
        <v>33</v>
      </c>
      <c r="B8" s="3" t="s">
        <v>46</v>
      </c>
      <c r="C8" s="33" t="s">
        <v>155</v>
      </c>
      <c r="D8" s="1">
        <v>45434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benedict hall@gmail com </cp:lastModifiedBy>
  <cp:revision>10</cp:revision>
  <dcterms:created xsi:type="dcterms:W3CDTF">2006-09-16T00:00:00Z</dcterms:created>
  <dcterms:modified xsi:type="dcterms:W3CDTF">2026-01-31T18:07:47Z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